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aronsushinsky-wirelesshdmi-hw\TYPE-C_4K_RECEIVER\Design-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19" i="1" l="1"/>
  <c r="M119" i="1"/>
  <c r="B119" i="1"/>
  <c r="Q118" i="1"/>
  <c r="M118" i="1"/>
  <c r="B118" i="1"/>
  <c r="Q117" i="1"/>
  <c r="M117" i="1"/>
  <c r="B117" i="1"/>
  <c r="Q116" i="1"/>
  <c r="M116" i="1"/>
  <c r="B116" i="1"/>
  <c r="Q115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M99" i="1"/>
  <c r="B99" i="1"/>
  <c r="M98" i="1"/>
  <c r="B98" i="1"/>
  <c r="Q97" i="1"/>
  <c r="M97" i="1"/>
  <c r="B97" i="1"/>
  <c r="Q96" i="1"/>
  <c r="M96" i="1"/>
  <c r="B96" i="1"/>
  <c r="M95" i="1"/>
  <c r="B95" i="1"/>
  <c r="Q94" i="1"/>
  <c r="M94" i="1"/>
  <c r="B94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M88" i="1"/>
  <c r="B88" i="1"/>
  <c r="Q87" i="1"/>
  <c r="M87" i="1"/>
  <c r="B87" i="1"/>
  <c r="M86" i="1"/>
  <c r="B86" i="1"/>
  <c r="Q85" i="1"/>
  <c r="M85" i="1"/>
  <c r="B85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M38" i="1"/>
  <c r="B38" i="1"/>
  <c r="Q37" i="1"/>
  <c r="M37" i="1"/>
  <c r="B37" i="1"/>
  <c r="Q36" i="1"/>
  <c r="M36" i="1"/>
  <c r="B36" i="1"/>
  <c r="M35" i="1"/>
  <c r="B35" i="1"/>
  <c r="Q34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 l="1"/>
  <c r="Q8" i="1"/>
  <c r="Q120" i="1" s="1"/>
  <c r="Q121" i="1" s="1"/>
  <c r="M9" i="1"/>
  <c r="M8" i="1"/>
  <c r="B9" i="1"/>
  <c r="B8" i="1"/>
</calcChain>
</file>

<file path=xl/sharedStrings.xml><?xml version="1.0" encoding="utf-8"?>
<sst xmlns="http://schemas.openxmlformats.org/spreadsheetml/2006/main" count="1351" uniqueCount="663">
  <si>
    <t>Component list</t>
  </si>
  <si>
    <t>Project:</t>
  </si>
  <si>
    <t>#</t>
  </si>
  <si>
    <t xml:space="preserve">Total Component Cost </t>
  </si>
  <si>
    <t>Single Board Cost</t>
  </si>
  <si>
    <t>Item Type</t>
  </si>
  <si>
    <t>Antenna</t>
  </si>
  <si>
    <t>Capacitor</t>
  </si>
  <si>
    <t>Diode</t>
  </si>
  <si>
    <t>Ferrite Beads</t>
  </si>
  <si>
    <t>Male Header</t>
  </si>
  <si>
    <t>USB Connector</t>
  </si>
  <si>
    <t>USB Connectors</t>
  </si>
  <si>
    <t>Connector</t>
  </si>
  <si>
    <t>Inductors</t>
  </si>
  <si>
    <t>Inductor</t>
  </si>
  <si>
    <t>Common Mode Filter</t>
  </si>
  <si>
    <t>LED</t>
  </si>
  <si>
    <t>Transistor</t>
  </si>
  <si>
    <t>Resistor</t>
  </si>
  <si>
    <t>Resistors</t>
  </si>
  <si>
    <t>Switch</t>
  </si>
  <si>
    <t>IC</t>
  </si>
  <si>
    <t>Module</t>
  </si>
  <si>
    <t>Crystal</t>
  </si>
  <si>
    <t>Crystal Oscillator</t>
  </si>
  <si>
    <t>Designator</t>
  </si>
  <si>
    <t>ANT1, ANT2</t>
  </si>
  <si>
    <t>C1, C52</t>
  </si>
  <si>
    <t>C2, C10, C53, C56, C57, C58, C59, C80, C82, C86, C175, C176, C177, C189</t>
  </si>
  <si>
    <t>C3</t>
  </si>
  <si>
    <t>C4, C36, C78, C187, C188, C190, C192, C193, C194, C195, C203, C206, C207, C208, C209, C210, C211, C212, C213, C214, C215, C217, C218, C219, C220, C221, C222, C223, C224, C225, C226, C227, C228, C229, C232, C233, C234, C235, C236, C237, C239, C240, C241, C242, C243, C244, C245, C246, C247, C248, C249, C250, C257</t>
  </si>
  <si>
    <t>C5, C17, C91, C92, C93, C96, C114, C115, C117, C134, C167, C191, C253, C324</t>
  </si>
  <si>
    <t>C6, C7</t>
  </si>
  <si>
    <t>C8, C12, C49, C50, C61, C62, C65, C66, C69, C71, C81, C94, C95, C97, C98, C99, C100, C101, C102, C103, C186, C287, C293</t>
  </si>
  <si>
    <t>C9, C79, C85</t>
  </si>
  <si>
    <t>C11</t>
  </si>
  <si>
    <t>C13, C14, C15, C16, C18, C19, C20, C21, C22, C23, C24, C25, C26, C27, C31, C32, C40, C42, C43, C77, C119, C120, C121, C122, C132, C165, C179, C204, C205</t>
  </si>
  <si>
    <t>C28, C29, C46, C47, C48, C197, C198, C216, C255</t>
  </si>
  <si>
    <t>C30, C63, C64, C67, C68, C70, C73, C74, C75, C76, C104, C105, C106, C116, C290</t>
  </si>
  <si>
    <t>C33, C37, C54, C55, C87, C88, C89, C90, C107, C108, C109, C110, C111, C112, C113, C118, C123, C124, C125, C126, C127, C128, C131, C133, C135, C136, C137, C138, C140, C141, C143, C144, C145, C146, C147, C148, C149, C150, C151, C152, C153, C154, C155, C160, C161, C162, C163, C168, C169, C170, C171, C172, C180, C181, C251, C258, C291, C310, C312, C313, C314, C315, C316, C317, C318, C319, C320, C321</t>
  </si>
  <si>
    <t>C34, C35</t>
  </si>
  <si>
    <t>C38, C196, C256</t>
  </si>
  <si>
    <t>C39, C41, C252</t>
  </si>
  <si>
    <t>C44, C51, C60, C72</t>
  </si>
  <si>
    <t>C45</t>
  </si>
  <si>
    <t>C83, C84</t>
  </si>
  <si>
    <t>C129, C130</t>
  </si>
  <si>
    <t>C139, C142, C173, C174</t>
  </si>
  <si>
    <t>C156, C157, C158, C159</t>
  </si>
  <si>
    <t>C164, C166</t>
  </si>
  <si>
    <t>C178</t>
  </si>
  <si>
    <t>C182, C183, C184, C185</t>
  </si>
  <si>
    <t>C199, C200, C201, C202, C230, C231</t>
  </si>
  <si>
    <t>C238</t>
  </si>
  <si>
    <t>C254</t>
  </si>
  <si>
    <t>C273, C275</t>
  </si>
  <si>
    <t>C292</t>
  </si>
  <si>
    <t>C322, C323</t>
  </si>
  <si>
    <t>D1, D2, D3, D4, D5, D8, D31</t>
  </si>
  <si>
    <t>D6, D7</t>
  </si>
  <si>
    <t>D9, D10</t>
  </si>
  <si>
    <t>D29, D30</t>
  </si>
  <si>
    <t>F1</t>
  </si>
  <si>
    <t>FB7, FB8, FB11, FB12, FB13</t>
  </si>
  <si>
    <t>J1</t>
  </si>
  <si>
    <t>J2</t>
  </si>
  <si>
    <t>J3</t>
  </si>
  <si>
    <t>J7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</si>
  <si>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</si>
  <si>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</si>
  <si>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</si>
  <si>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</si>
  <si>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</si>
  <si>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</si>
  <si>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</si>
  <si>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</si>
  <si>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Q7, Q8</t>
  </si>
  <si>
    <t>R1, R9, R17, R22, R34, R41, R51, R84, R88, R89, R93, R105, R106, R107, R108, R109, R110, R120, R121</t>
  </si>
  <si>
    <t>R2, R10, R13, R35, R36, R37, R46, R53, R54, R68, R159</t>
  </si>
  <si>
    <t>R3, R45, R50, R83, R96, R104, R114, R115, R116, R117, R126, R140, R169, R170, R171, R172, R173, R174, R175, R176</t>
  </si>
  <si>
    <t>R4, R27, R99, R123</t>
  </si>
  <si>
    <t>R5, R42, R86, R94, R132, R152</t>
  </si>
  <si>
    <t>R6, R7</t>
  </si>
  <si>
    <t>R8</t>
  </si>
  <si>
    <t>R11</t>
  </si>
  <si>
    <t>R12</t>
  </si>
  <si>
    <t>R14, R15, R18, R19, R21, R26, R31, R44, R47, R85</t>
  </si>
  <si>
    <t>R16</t>
  </si>
  <si>
    <t>R20</t>
  </si>
  <si>
    <t>R23</t>
  </si>
  <si>
    <t>R24</t>
  </si>
  <si>
    <t>R25</t>
  </si>
  <si>
    <t>R28, R29, R30, R38, R39, R48, R49, R52, R56, R90, R91, R92, R97</t>
  </si>
  <si>
    <t>R32</t>
  </si>
  <si>
    <t>R33</t>
  </si>
  <si>
    <t>R40</t>
  </si>
  <si>
    <t>R43, R131</t>
  </si>
  <si>
    <t>R55</t>
  </si>
  <si>
    <t>R57, R69, R70, R80, R81</t>
  </si>
  <si>
    <t>R58, R59, R64, R65, R66, R67, R71, R72</t>
  </si>
  <si>
    <t>R60, R61, R62, R63</t>
  </si>
  <si>
    <t>R73</t>
  </si>
  <si>
    <t>R74, R75, R78, R79</t>
  </si>
  <si>
    <t>R76, R77</t>
  </si>
  <si>
    <t>R82, R148</t>
  </si>
  <si>
    <t>R87</t>
  </si>
  <si>
    <t>R95, R124, R125, R128, R130, R133, R134, R141, R142, R143, R144, R145, R146, R147</t>
  </si>
  <si>
    <t>R98</t>
  </si>
  <si>
    <t>R100</t>
  </si>
  <si>
    <t>R101</t>
  </si>
  <si>
    <t>R102, R103</t>
  </si>
  <si>
    <t>R111, R112</t>
  </si>
  <si>
    <t>R113, R118</t>
  </si>
  <si>
    <t>R119, R122</t>
  </si>
  <si>
    <t>R129</t>
  </si>
  <si>
    <t>R135, R136, R137, R138, R139</t>
  </si>
  <si>
    <t>R149</t>
  </si>
  <si>
    <t>R153</t>
  </si>
  <si>
    <t>SW1, SW2, SW3</t>
  </si>
  <si>
    <t>U1</t>
  </si>
  <si>
    <t>U2</t>
  </si>
  <si>
    <t>U3</t>
  </si>
  <si>
    <t>U4, U19</t>
  </si>
  <si>
    <t>U5</t>
  </si>
  <si>
    <t>U6</t>
  </si>
  <si>
    <t>U7</t>
  </si>
  <si>
    <t>U8</t>
  </si>
  <si>
    <t>U11</t>
  </si>
  <si>
    <t>U12</t>
  </si>
  <si>
    <t>U14</t>
  </si>
  <si>
    <t>U16</t>
  </si>
  <si>
    <t>U17</t>
  </si>
  <si>
    <t>U18</t>
  </si>
  <si>
    <t>X1</t>
  </si>
  <si>
    <t>X2</t>
  </si>
  <si>
    <t>X3</t>
  </si>
  <si>
    <t>X5</t>
  </si>
  <si>
    <t>X6</t>
  </si>
  <si>
    <t>Description</t>
  </si>
  <si>
    <t>RF ANT 2.4GHZ/5.5GHZ CHIP SLD</t>
  </si>
  <si>
    <t>CAP CER 1UF 16V X5R 0402</t>
  </si>
  <si>
    <t>CAP CER 0.1UF 16V X5R 0402</t>
  </si>
  <si>
    <t>CAP CER 10UF 10V X5R 0402</t>
  </si>
  <si>
    <t>CAP CER 0.1UF 10V X5R 0402</t>
  </si>
  <si>
    <t>CAP CER 4.7UF 10V X5R 0402</t>
  </si>
  <si>
    <t>CAP CER 10PF 50V C0G/NP0 0402</t>
  </si>
  <si>
    <t>CAP CER 22UF 10V X5R 0402</t>
  </si>
  <si>
    <t>CAP CER 22UF 16V X5R 0805</t>
  </si>
  <si>
    <t>CAP CER 4700PF 50V X7R 0402</t>
  </si>
  <si>
    <t>CAP CER 1UF 10V X5R 0402</t>
  </si>
  <si>
    <t>CAP CER 22UF 6.3V X5R 0603</t>
  </si>
  <si>
    <t>CAP CER 0.1UF 10V X5R 0201</t>
  </si>
  <si>
    <t>CAP CER 22PF 50V C0G/NPO 0402</t>
  </si>
  <si>
    <t>CAP CER 10UF 10V X5R 0603</t>
  </si>
  <si>
    <t>CAP CER 2.2UF 6.3V X5R 0402</t>
  </si>
  <si>
    <t>CAP CER 47UF 25V X5R 1206</t>
  </si>
  <si>
    <t>CAP CER 47UF 10V X5R 0805</t>
  </si>
  <si>
    <t>CAP CER 18PF 50V C0G/NP0 0603</t>
  </si>
  <si>
    <t>CAP CER 4.7UF 6.3V X5R 0402</t>
  </si>
  <si>
    <t>50V 1nF X7R ±10% 0201 Multilayer Ceramic Capacitors MLCC - SMD/SMT ROHS</t>
  </si>
  <si>
    <t>CAP CER 0.1UF 50V X7R 0402</t>
  </si>
  <si>
    <t>CAP CER 4700PF 1KV X7R 1206</t>
  </si>
  <si>
    <t>CAP CER 15PF 50V C0G/NPO 0402</t>
  </si>
  <si>
    <t>CAP CER 10UF 6.3V X5R 0603</t>
  </si>
  <si>
    <t>CAP CER 1000PF 50V C0G/NP0 0402</t>
  </si>
  <si>
    <t>CAP CER 100PF 50V C0G/NP0 0402</t>
  </si>
  <si>
    <t>CAP CER 12PF 50V C0G/NP0 0402</t>
  </si>
  <si>
    <t>CAP CER 6.8PF 50V C0G/NPO 0402</t>
  </si>
  <si>
    <t>CAP CER 15PF 50V C0G/NPO 0603</t>
  </si>
  <si>
    <t>DFN1006-2(0402) ESD Protection Devices ROHS</t>
  </si>
  <si>
    <t>DFN1006-2 ESD Protection Devices ROHS</t>
  </si>
  <si>
    <t>4A@8/20us 12V 7V 5V Unidirectional DFN2510-10L TVS ROHS</t>
  </si>
  <si>
    <t>4A@8/20us 15V 7V 5V Unidirectional DFN1006-2L TVS ROHS</t>
  </si>
  <si>
    <t>8V 3A 100A 5A 1812 Resettable Fuses ROHS</t>
  </si>
  <si>
    <t>FERRITE BEAD 70 OHM 0603 1LN</t>
  </si>
  <si>
    <t>Gold 250V 3A Straight Square Pins 2.5mm 3P 260℃ 6mm -40℃~+105℃ 3mm 2.54mm Plugin Black Brass 1x3P Plugin,P=2.54mm Pin Headers ROHS</t>
  </si>
  <si>
    <t>CONN RCPT USB2.0 MICRO B SMD R/A</t>
  </si>
  <si>
    <t>CONN RCP USB3.1 TYPEC 24P SMD RA</t>
  </si>
  <si>
    <t>CONN RCP MICRO HDMI 19POS SMD RA</t>
  </si>
  <si>
    <t>2.05A 2.2uH ±20% 2.8A SMD,3x3mm Power Inductors ROHS</t>
  </si>
  <si>
    <t>4.05A 240nH ±20% 19mΩ SMD Power Inductors ROHS</t>
  </si>
  <si>
    <t>4.2A 470nH 合金磁胶电感 ±20% 8A SMD,3x3mm Power Inductors ROHS</t>
  </si>
  <si>
    <t>90Ω@100MHz 4Ω 2 0302 Common Mode Filters ROHS</t>
  </si>
  <si>
    <t>Fixed Ind 2.2UH 4.3A 48MOHM SMD</t>
  </si>
  <si>
    <t>4A 2.2uH ±20% 32mΩ SMD,5.4x5.2x2mm Power Inductors ROHS</t>
  </si>
  <si>
    <t>FIXED IND 3.3UH 8.4A 22MOHM SMD</t>
  </si>
  <si>
    <t>30mA Colorless transparent lens -30℃~+85℃ Positive Stick Common Anode Red,Blue 120° 90mW SMD3528 LED Indication - Discrete ROHS</t>
  </si>
  <si>
    <t>Trans Gp Bjt NPN 25V 1.5A 300MW 3-PIN SOT-23 T/r</t>
  </si>
  <si>
    <t>RES 10K OHM 1% 1/16W 0402</t>
  </si>
  <si>
    <t>RES 22 OHM 1% 1/16W 0402</t>
  </si>
  <si>
    <t>RES 0 OHM JUMPER 1/16W 0402</t>
  </si>
  <si>
    <t>RES 20K OHM 1% 1/16W 0402</t>
  </si>
  <si>
    <t>RES 100K OHM 1% 1/16W 0402</t>
  </si>
  <si>
    <t>RES SMD 2.2K OHM 1% 1/16W 0402</t>
  </si>
  <si>
    <t>RES 33K OHM 1% 1/16W 0402</t>
  </si>
  <si>
    <t>RES 200K OHM 1% 1/16W 0402</t>
  </si>
  <si>
    <t>RES 51K OHM 1% 1/16W 0402</t>
  </si>
  <si>
    <t>RES 100 OHM 1% 1/16W 0402</t>
  </si>
  <si>
    <t>RES SMD 15K OHM 0.1% 1/16W 0402</t>
  </si>
  <si>
    <t>RES 560 OHM 1% 1/16W 0402</t>
  </si>
  <si>
    <t>RES 9.1K OHM 1% 1/16W 0402</t>
  </si>
  <si>
    <t>RES SMD 120K OHM 0.1% 1/16W 0402</t>
  </si>
  <si>
    <t>RES 47K OHM 1% 1/16W 0402</t>
  </si>
  <si>
    <t>RES SMD 31.6KOHM 0.5% 1/16W 0402</t>
  </si>
  <si>
    <t>RES SMD 10K OHM 0.5% 1/16W 0402</t>
  </si>
  <si>
    <t>RES 120 OHM 1% 1/20W 0201</t>
  </si>
  <si>
    <t>RES 1M OHM 1% 1/16W 0402</t>
  </si>
  <si>
    <t>RES 33 OHM 1% 1/16W 0402</t>
  </si>
  <si>
    <t>RES 2.2 OHM 1% 1/16W 0402</t>
  </si>
  <si>
    <t>RES SMD 10K OHM 1% 1/20W 0201</t>
  </si>
  <si>
    <t>RES 1.62K OHM 0.5% 1/20W 0201</t>
  </si>
  <si>
    <t>RES 4.7K OHM 1% 1/16W 0402</t>
  </si>
  <si>
    <t>RES 1K OHM 1% 1/16W 0402</t>
  </si>
  <si>
    <t>RES SMD 0R, 1%, 0.1W, 0603</t>
  </si>
  <si>
    <t>RES SMD 1M OHM 1% 1/10W 0603</t>
  </si>
  <si>
    <t>RES SMD 2K OHM 0.1% 1/10W 0603</t>
  </si>
  <si>
    <t>RES SMD 100K OHM 0.1% 1/16W 0402</t>
  </si>
  <si>
    <t>RES 240 OHM 1% 1/16W 0402</t>
  </si>
  <si>
    <t>RES 150K OHM 0.1% 1/16W 0402</t>
  </si>
  <si>
    <t>RES 6.04K OHM 1% 1/16W 0402</t>
  </si>
  <si>
    <t>RES 30K OHM 1% 1/16W 0402</t>
  </si>
  <si>
    <t>SWITCH TACTILE SPST-NO 0.05A 12V</t>
  </si>
  <si>
    <t>BGA-565(15.5x14.4) Microcontrollers (MCU/MPU/SOC) ROHS</t>
  </si>
  <si>
    <t>IC INTERFACE SPECIALIZED 24UQFN</t>
  </si>
  <si>
    <t>FBGA-153(11.5x13) eMMC ROHS</t>
  </si>
  <si>
    <t>SOT-23-5 Power Distribution Switches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</si>
  <si>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</si>
  <si>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</si>
  <si>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</si>
  <si>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</si>
  <si>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</si>
  <si>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</si>
  <si>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FLASH 128MBIT SPI/QUAD 8SOIC</t>
  </si>
  <si>
    <t>IC REG BUCK ADJ 2A SOT23-5</t>
  </si>
  <si>
    <t>-86dBm 14dBm 2.4GHz - WiFi Modules ROHS</t>
  </si>
  <si>
    <t>HD-DVI2.0 to DP1.2 with Type-C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</si>
  <si>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</si>
  <si>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</si>
  <si>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</si>
  <si>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1.8V ±10ppm ±20ppm CMOS 32.768kHz SMD3225-4P Crystal Oscillators ROHS</t>
  </si>
  <si>
    <t>SMD2520-4P Crystals ROHS</t>
  </si>
  <si>
    <t>Footprint</t>
  </si>
  <si>
    <t>W3006_</t>
  </si>
  <si>
    <t>Cap-0402</t>
  </si>
  <si>
    <t>Cap-0805</t>
  </si>
  <si>
    <t>Cap-0603</t>
  </si>
  <si>
    <t>CAP-0201</t>
  </si>
  <si>
    <t>Cap-1206</t>
  </si>
  <si>
    <t>DFN1006-2L (Bi-Directional)</t>
  </si>
  <si>
    <t>DFN1006-2L_</t>
  </si>
  <si>
    <t>DFN2510-10L_</t>
  </si>
  <si>
    <t>Fuse-1812_</t>
  </si>
  <si>
    <t>IND-0603 (1608 Metric)</t>
  </si>
  <si>
    <t>HDR1X3_</t>
  </si>
  <si>
    <t>12401832E402A</t>
  </si>
  <si>
    <t>46765-1001</t>
  </si>
  <si>
    <t>WPN3012H2R2MT</t>
  </si>
  <si>
    <t>YHNR3012-R47M</t>
  </si>
  <si>
    <t>0630CDMCCDS-3R3MC</t>
  </si>
  <si>
    <t>XL-3528SURUBC</t>
  </si>
  <si>
    <t>SOT-23</t>
  </si>
  <si>
    <t>Res-0402</t>
  </si>
  <si>
    <t>Res-0201</t>
  </si>
  <si>
    <t>Res-0603</t>
  </si>
  <si>
    <t>B3U-1000P</t>
  </si>
  <si>
    <t>BGA-565(15.5x14.4)</t>
  </si>
  <si>
    <t>24-UQFN (4x2)</t>
  </si>
  <si>
    <t>FBGA-153(11.5x13)</t>
  </si>
  <si>
    <t>SOT-23-5</t>
  </si>
  <si>
    <t>CSP1.56*1.96-20</t>
  </si>
  <si>
    <t>ESOP-8</t>
  </si>
  <si>
    <t>68-QFN-(7x7)</t>
  </si>
  <si>
    <t>200-WFBGA (10x14.5)</t>
  </si>
  <si>
    <t>SOIC-8 (208 mil)</t>
  </si>
  <si>
    <t>QFN 64 (7.5x7.5)</t>
  </si>
  <si>
    <t>SMD3215-2P</t>
  </si>
  <si>
    <t>SMD3225-4P</t>
  </si>
  <si>
    <t>SMD2520-4P</t>
  </si>
  <si>
    <t>Manufacturer Part Number</t>
  </si>
  <si>
    <t>W3006</t>
  </si>
  <si>
    <t>CC0402KRX5R7BB105</t>
  </si>
  <si>
    <t>CC0402KRX5R7BB104</t>
  </si>
  <si>
    <t>CC0402MRX5R6BB106</t>
  </si>
  <si>
    <t>CC0402KRX5R6BB104</t>
  </si>
  <si>
    <t>CC0402KRX5R6BB475</t>
  </si>
  <si>
    <t>GRM1555C1H100JA01D</t>
  </si>
  <si>
    <t>GRM158R61A226ME15D</t>
  </si>
  <si>
    <t>CL21A226MOCLRNC</t>
  </si>
  <si>
    <t>CC0402KRX7R9BB472</t>
  </si>
  <si>
    <t>CC0402KRX5R6BB105</t>
  </si>
  <si>
    <t>CC0603MRX5R5BB226</t>
  </si>
  <si>
    <t>CL05A106MP5NUNC</t>
  </si>
  <si>
    <t>CC0201KRX5R6BB104</t>
  </si>
  <si>
    <t>CC0402JRNPO9BN220</t>
  </si>
  <si>
    <t>CC0603KRX5R6BB106</t>
  </si>
  <si>
    <t>C1005X5R0J225KTJA0E</t>
  </si>
  <si>
    <t>GRM31CR61E476ME44L</t>
  </si>
  <si>
    <t>GRM21BR61A476ME15K</t>
  </si>
  <si>
    <t>CL10C180JB8NNNC</t>
  </si>
  <si>
    <t>CC0402KRX5R5BB475</t>
  </si>
  <si>
    <t>0201B102K500NT</t>
  </si>
  <si>
    <t>GRM155R71H104ME14D</t>
  </si>
  <si>
    <t>CC1206KKX7RCBB472</t>
  </si>
  <si>
    <t>CQ0402GRNPO9BN150</t>
  </si>
  <si>
    <t>GRM188R60J106ME47D</t>
  </si>
  <si>
    <t>GRM1555C1H102JA01D</t>
  </si>
  <si>
    <t>GRM1555C1H101JA01D</t>
  </si>
  <si>
    <t>GJM1555C1H120GB01D</t>
  </si>
  <si>
    <t>CC0402CRNPO9BN6R8</t>
  </si>
  <si>
    <t>CC0603JRNPO9BN150</t>
  </si>
  <si>
    <t>ESD5451N</t>
  </si>
  <si>
    <t>ESD9X5VU</t>
  </si>
  <si>
    <t>ESD5304D-10/TR</t>
  </si>
  <si>
    <t>ESD5341N-2/TR</t>
  </si>
  <si>
    <t>mSMD300</t>
  </si>
  <si>
    <t>BLM18SG700TN1D</t>
  </si>
  <si>
    <t>X6511WV-03H-C60D30</t>
  </si>
  <si>
    <t>10118192-0001LF</t>
  </si>
  <si>
    <t>WPN252012HR24MT</t>
  </si>
  <si>
    <t>SDMM0806H-2-900T</t>
  </si>
  <si>
    <t>WPN4020H2R2MT</t>
  </si>
  <si>
    <t>YSPI0520-2R2M</t>
  </si>
  <si>
    <t>SS8050-G</t>
  </si>
  <si>
    <t>RC0402FR-0710KL</t>
  </si>
  <si>
    <t>RC0402FR-0722RL</t>
  </si>
  <si>
    <t>RC0402FR-070RL</t>
  </si>
  <si>
    <t>RC0402FR-0720KL</t>
  </si>
  <si>
    <t>RC0402FR-07100KL</t>
  </si>
  <si>
    <t>RC0402FR-072K2L</t>
  </si>
  <si>
    <t>RC0402FR-0733KL</t>
  </si>
  <si>
    <t>RC0402FR-07200KL</t>
  </si>
  <si>
    <t>RC0402FR-0751KL</t>
  </si>
  <si>
    <t>RC0402FR-07100RL</t>
  </si>
  <si>
    <t>RT0402BRD0715KL</t>
  </si>
  <si>
    <t>RC0402FR-07560RL</t>
  </si>
  <si>
    <t>RC0402FR-079K1L</t>
  </si>
  <si>
    <t>RT0402BRD07120KL</t>
  </si>
  <si>
    <t>RC0402FR-0747KL</t>
  </si>
  <si>
    <t>RT0402DRE0731K6L</t>
  </si>
  <si>
    <t>RE0402DRE0710KL</t>
  </si>
  <si>
    <t>RC0201FR-07120RL</t>
  </si>
  <si>
    <t>RC0402FR-071ML</t>
  </si>
  <si>
    <t>RC0402FR-0733RL</t>
  </si>
  <si>
    <t>RC0402FR-072R2L</t>
  </si>
  <si>
    <t>RC0201FR-0710KL</t>
  </si>
  <si>
    <t>RC0201DR-071K62L</t>
  </si>
  <si>
    <t>RC0402FR-074K7L</t>
  </si>
  <si>
    <t>RC0402FR-071KL</t>
  </si>
  <si>
    <t>RC0603FR-070RL</t>
  </si>
  <si>
    <t>RC0603FR-071ML</t>
  </si>
  <si>
    <t>RT0603BRE072KL</t>
  </si>
  <si>
    <t>RT0402BRD07100KL</t>
  </si>
  <si>
    <t>RC0402FR-07240RL</t>
  </si>
  <si>
    <t>RT0402BRD07150KL</t>
  </si>
  <si>
    <t>RC0402FR-076K04L</t>
  </si>
  <si>
    <t>RC0402FR-0730KL</t>
  </si>
  <si>
    <t>RK3566</t>
  </si>
  <si>
    <t>TPD12S016RKTR</t>
  </si>
  <si>
    <t>KLM8G1GETF-B041</t>
  </si>
  <si>
    <t>SY6280AAC</t>
  </si>
  <si>
    <t>SYR838PKC</t>
  </si>
  <si>
    <t>SCT2450STER</t>
  </si>
  <si>
    <t>RK809-5</t>
  </si>
  <si>
    <t>AP2331SA-7</t>
  </si>
  <si>
    <t>SY8089AAAC</t>
  </si>
  <si>
    <t>K4UBE3D4AA-MGCL</t>
  </si>
  <si>
    <t>W25Q128JWSIQ</t>
  </si>
  <si>
    <t>TLV62569DBVR</t>
  </si>
  <si>
    <t>AP6275S</t>
  </si>
  <si>
    <t>LT6711</t>
  </si>
  <si>
    <t>XDMCZLNDDF-0.032768MHZ</t>
  </si>
  <si>
    <t>X322524MOB4SI</t>
  </si>
  <si>
    <t>Q22FA12800078</t>
  </si>
  <si>
    <t>SX3M32.768KD10F20TLN</t>
  </si>
  <si>
    <t>NX2520SA-27MHZ-STD-CSW-5</t>
  </si>
  <si>
    <t>Manufacturer</t>
  </si>
  <si>
    <t>Pulse</t>
  </si>
  <si>
    <t>Yageo</t>
  </si>
  <si>
    <t>Murata</t>
  </si>
  <si>
    <t>Samsung</t>
  </si>
  <si>
    <t>TDK</t>
  </si>
  <si>
    <t>FH</t>
  </si>
  <si>
    <t>TECH PUBLIC</t>
  </si>
  <si>
    <t>WILLSEMI</t>
  </si>
  <si>
    <t>TECHFUSE</t>
  </si>
  <si>
    <t>XKB</t>
  </si>
  <si>
    <t>Amphenol FCI</t>
  </si>
  <si>
    <t>Amphenol</t>
  </si>
  <si>
    <t>Molex</t>
  </si>
  <si>
    <t>Sunlord</t>
  </si>
  <si>
    <t>YJYCOIN</t>
  </si>
  <si>
    <t>Sumida</t>
  </si>
  <si>
    <t>XINGLIGHT</t>
  </si>
  <si>
    <t>Comchip</t>
  </si>
  <si>
    <t>YAGEO</t>
  </si>
  <si>
    <t>Omron</t>
  </si>
  <si>
    <t>Rockchip</t>
  </si>
  <si>
    <t>Texas Instruments</t>
  </si>
  <si>
    <t>Silergy</t>
  </si>
  <si>
    <t>SCT</t>
  </si>
  <si>
    <t>Diodes</t>
  </si>
  <si>
    <t>Winbond</t>
  </si>
  <si>
    <t>AMPAK Tech</t>
  </si>
  <si>
    <t>Lontium</t>
  </si>
  <si>
    <t>TAITIEN Elec</t>
  </si>
  <si>
    <t>Yangxing Tech</t>
  </si>
  <si>
    <t>Seiko</t>
  </si>
  <si>
    <t>Shenzhen SCTF Elec</t>
  </si>
  <si>
    <t>NDK</t>
  </si>
  <si>
    <t>LCSC Part Number</t>
  </si>
  <si>
    <t>C325464</t>
  </si>
  <si>
    <t>C106204</t>
  </si>
  <si>
    <t>C962143</t>
  </si>
  <si>
    <t>C129131</t>
  </si>
  <si>
    <t>C326586</t>
  </si>
  <si>
    <t>C76946</t>
  </si>
  <si>
    <t>C3845593</t>
  </si>
  <si>
    <t>C398815</t>
  </si>
  <si>
    <t>C106254</t>
  </si>
  <si>
    <t>C109448</t>
  </si>
  <si>
    <t>C315248</t>
  </si>
  <si>
    <t>C190183</t>
  </si>
  <si>
    <t>C106203</t>
  </si>
  <si>
    <t>C326057</t>
  </si>
  <si>
    <t>C343036</t>
  </si>
  <si>
    <t>C403725</t>
  </si>
  <si>
    <t>C2292827</t>
  </si>
  <si>
    <t>C541466</t>
  </si>
  <si>
    <t>C66942</t>
  </si>
  <si>
    <t>C182412</t>
  </si>
  <si>
    <t>C107198</t>
  </si>
  <si>
    <t>C577406</t>
  </si>
  <si>
    <t>C77041</t>
  </si>
  <si>
    <t>C76947</t>
  </si>
  <si>
    <t>C77177</t>
  </si>
  <si>
    <t>C161305</t>
  </si>
  <si>
    <t>C189470</t>
  </si>
  <si>
    <t>C107037</t>
  </si>
  <si>
    <t>C2936977</t>
  </si>
  <si>
    <t>C2875160</t>
  </si>
  <si>
    <t>C153722</t>
  </si>
  <si>
    <t>C239773</t>
  </si>
  <si>
    <t>C69689</t>
  </si>
  <si>
    <t>C113031</t>
  </si>
  <si>
    <t>C706875</t>
  </si>
  <si>
    <t>C132564</t>
  </si>
  <si>
    <t>C464604</t>
  </si>
  <si>
    <t>C563878</t>
  </si>
  <si>
    <t>C98355</t>
  </si>
  <si>
    <t>C305274</t>
  </si>
  <si>
    <t>C20416183</t>
  </si>
  <si>
    <t>C370285</t>
  </si>
  <si>
    <t>C98361</t>
  </si>
  <si>
    <t>C718375</t>
  </si>
  <si>
    <t>C879414</t>
  </si>
  <si>
    <t>C2843811</t>
  </si>
  <si>
    <t>C105433</t>
  </si>
  <si>
    <t>C60490</t>
  </si>
  <si>
    <t>C114765</t>
  </si>
  <si>
    <t>C106231</t>
  </si>
  <si>
    <t>C93942</t>
  </si>
  <si>
    <t>C60491</t>
  </si>
  <si>
    <t>C114762</t>
  </si>
  <si>
    <t>C138003</t>
  </si>
  <si>
    <t>C114763</t>
  </si>
  <si>
    <t>C107229</t>
  </si>
  <si>
    <t>C106232</t>
  </si>
  <si>
    <t>C852545</t>
  </si>
  <si>
    <t>C163460</t>
  </si>
  <si>
    <t>C163450</t>
  </si>
  <si>
    <t>C852501</t>
  </si>
  <si>
    <t>C93943</t>
  </si>
  <si>
    <t>C853910</t>
  </si>
  <si>
    <t>C851874</t>
  </si>
  <si>
    <t>C295718</t>
  </si>
  <si>
    <t>C138033</t>
  </si>
  <si>
    <t>C138002</t>
  </si>
  <si>
    <t>C327251</t>
  </si>
  <si>
    <t>C106225</t>
  </si>
  <si>
    <t>C851673</t>
  </si>
  <si>
    <t>C105871</t>
  </si>
  <si>
    <t>C106235</t>
  </si>
  <si>
    <t>C100044</t>
  </si>
  <si>
    <t>C105578</t>
  </si>
  <si>
    <t>C136954</t>
  </si>
  <si>
    <t>C852472</t>
  </si>
  <si>
    <t>C852538</t>
  </si>
  <si>
    <t>C97819</t>
  </si>
  <si>
    <t>C231329</t>
  </si>
  <si>
    <t>C2943786</t>
  </si>
  <si>
    <t>C499918</t>
  </si>
  <si>
    <t>C55136</t>
  </si>
  <si>
    <t>C178249</t>
  </si>
  <si>
    <t>C509400</t>
  </si>
  <si>
    <t>C2939628</t>
  </si>
  <si>
    <t>C500764</t>
  </si>
  <si>
    <t>C78988</t>
  </si>
  <si>
    <t>C2920257</t>
  </si>
  <si>
    <t>C2763561</t>
  </si>
  <si>
    <t>C141836</t>
  </si>
  <si>
    <t>C2918717</t>
  </si>
  <si>
    <t>-</t>
  </si>
  <si>
    <t>C521573</t>
  </si>
  <si>
    <t>C70590</t>
  </si>
  <si>
    <t>C255897</t>
  </si>
  <si>
    <t>C21547574</t>
  </si>
  <si>
    <t>C910047</t>
  </si>
  <si>
    <t>1uF</t>
  </si>
  <si>
    <t>100nF</t>
  </si>
  <si>
    <t>10uF</t>
  </si>
  <si>
    <t>0.1uF</t>
  </si>
  <si>
    <t>4.7uF</t>
  </si>
  <si>
    <t>10pF</t>
  </si>
  <si>
    <t>22uF</t>
  </si>
  <si>
    <t>4.7nF</t>
  </si>
  <si>
    <t>22PF</t>
  </si>
  <si>
    <t>2.2uF</t>
  </si>
  <si>
    <t>47uF</t>
  </si>
  <si>
    <t>18pF</t>
  </si>
  <si>
    <t>1nF</t>
  </si>
  <si>
    <t>DNP</t>
  </si>
  <si>
    <t>100pF</t>
  </si>
  <si>
    <t>12pF</t>
  </si>
  <si>
    <t>NC</t>
  </si>
  <si>
    <t>15pF</t>
  </si>
  <si>
    <t>2.2uH</t>
  </si>
  <si>
    <t>240nH</t>
  </si>
  <si>
    <t>470nH</t>
  </si>
  <si>
    <t>3.3uH</t>
  </si>
  <si>
    <t>10K</t>
  </si>
  <si>
    <t>22R</t>
  </si>
  <si>
    <t>0R</t>
  </si>
  <si>
    <t>20K</t>
  </si>
  <si>
    <t>100K</t>
  </si>
  <si>
    <t>2.2K</t>
  </si>
  <si>
    <t>33K</t>
  </si>
  <si>
    <t>200K</t>
  </si>
  <si>
    <t>51K</t>
  </si>
  <si>
    <t>100R</t>
  </si>
  <si>
    <t>15K</t>
  </si>
  <si>
    <t>560R</t>
  </si>
  <si>
    <t>9.1K</t>
  </si>
  <si>
    <t>120K</t>
  </si>
  <si>
    <t>47K</t>
  </si>
  <si>
    <t>31.6K</t>
  </si>
  <si>
    <t>120R</t>
  </si>
  <si>
    <t>1M</t>
  </si>
  <si>
    <t>33R</t>
  </si>
  <si>
    <t>2.2R</t>
  </si>
  <si>
    <t>1.62K</t>
  </si>
  <si>
    <t>NC/</t>
  </si>
  <si>
    <t>4.7K</t>
  </si>
  <si>
    <t>2K</t>
  </si>
  <si>
    <t>240R</t>
  </si>
  <si>
    <t>150K</t>
  </si>
  <si>
    <t>6.04K</t>
  </si>
  <si>
    <t>30K</t>
  </si>
  <si>
    <t>32.768kHz</t>
  </si>
  <si>
    <t>24MHZ</t>
  </si>
  <si>
    <t>37.4MHz</t>
  </si>
  <si>
    <t>27MHz</t>
  </si>
  <si>
    <t>Quantity</t>
  </si>
  <si>
    <t>Bill of Materials for Project [TYPEC_4KRECEIVER-v1.0</t>
  </si>
  <si>
    <t>TYPEC_4KRECEIVER-v1.0</t>
  </si>
  <si>
    <t>Alternate Part Number</t>
  </si>
  <si>
    <t>Value</t>
  </si>
  <si>
    <t>Links</t>
  </si>
  <si>
    <t>Remarks</t>
  </si>
  <si>
    <t>Quantity (5 Boards)</t>
  </si>
  <si>
    <t>MOQ (5 Boards)</t>
  </si>
  <si>
    <t>Unit Cost (5 Boards)</t>
  </si>
  <si>
    <t>Total Cost (5 Boards)</t>
  </si>
  <si>
    <t>Fuse</t>
  </si>
  <si>
    <t>10</t>
  </si>
  <si>
    <t>100</t>
  </si>
  <si>
    <t>20</t>
  </si>
  <si>
    <t>300</t>
  </si>
  <si>
    <t>200</t>
  </si>
  <si>
    <t>50</t>
  </si>
  <si>
    <t>400</t>
  </si>
  <si>
    <t>5</t>
  </si>
  <si>
    <t>40</t>
  </si>
  <si>
    <t>5000</t>
  </si>
  <si>
    <t>0.0011</t>
  </si>
  <si>
    <t>0.0241</t>
  </si>
  <si>
    <t>0.0175</t>
  </si>
  <si>
    <t>0.0020</t>
  </si>
  <si>
    <t>0.1183</t>
  </si>
  <si>
    <t>0.0533</t>
  </si>
  <si>
    <t>0.0010</t>
  </si>
  <si>
    <t>0.0026</t>
  </si>
  <si>
    <t>0.0229</t>
  </si>
  <si>
    <t>0.0075</t>
  </si>
  <si>
    <t>0.0274</t>
  </si>
  <si>
    <t>0.0285</t>
  </si>
  <si>
    <t>0.2666</t>
  </si>
  <si>
    <t>0.2428</t>
  </si>
  <si>
    <t>0.0048</t>
  </si>
  <si>
    <t>0.0062</t>
  </si>
  <si>
    <t>0.0006</t>
  </si>
  <si>
    <t>0.0045</t>
  </si>
  <si>
    <t>0.0165</t>
  </si>
  <si>
    <t>0.0082</t>
  </si>
  <si>
    <t>0.0021</t>
  </si>
  <si>
    <t>0.0222</t>
  </si>
  <si>
    <t>0.0013</t>
  </si>
  <si>
    <t>0.0027</t>
  </si>
  <si>
    <t>0.0091</t>
  </si>
  <si>
    <t>0.0223</t>
  </si>
  <si>
    <t>0.0531</t>
  </si>
  <si>
    <t>0.0399</t>
  </si>
  <si>
    <t>0.0704</t>
  </si>
  <si>
    <t>0.0342</t>
  </si>
  <si>
    <t>0.0426</t>
  </si>
  <si>
    <t>0.2243</t>
  </si>
  <si>
    <t>1.0757</t>
  </si>
  <si>
    <t>1.1563</t>
  </si>
  <si>
    <t>0.0752</t>
  </si>
  <si>
    <t>0.0571</t>
  </si>
  <si>
    <t>0.0825</t>
  </si>
  <si>
    <t>0.0188</t>
  </si>
  <si>
    <t>0.1167</t>
  </si>
  <si>
    <t>0.1743</t>
  </si>
  <si>
    <t>0.3521</t>
  </si>
  <si>
    <t>0.0348</t>
  </si>
  <si>
    <t>0.0137</t>
  </si>
  <si>
    <t>0.0005</t>
  </si>
  <si>
    <t>0.0007</t>
  </si>
  <si>
    <t>0.0228</t>
  </si>
  <si>
    <t>0.0192</t>
  </si>
  <si>
    <t>0.0100</t>
  </si>
  <si>
    <t>0.0033</t>
  </si>
  <si>
    <t>0.0009</t>
  </si>
  <si>
    <t>0.0038</t>
  </si>
  <si>
    <t>0.0237</t>
  </si>
  <si>
    <t>0.0194</t>
  </si>
  <si>
    <t>0.0202</t>
  </si>
  <si>
    <t>0.1517</t>
  </si>
  <si>
    <t>10.8677</t>
  </si>
  <si>
    <t>0.9132</t>
  </si>
  <si>
    <t>3.5626</t>
  </si>
  <si>
    <t>0.0975</t>
  </si>
  <si>
    <t>0.4712</t>
  </si>
  <si>
    <t>1.7255</t>
  </si>
  <si>
    <t>2.9777</t>
  </si>
  <si>
    <t>0.0705</t>
  </si>
  <si>
    <t>0.1554</t>
  </si>
  <si>
    <t>19.4080</t>
  </si>
  <si>
    <t>0.5949</t>
  </si>
  <si>
    <t>0.0385</t>
  </si>
  <si>
    <t>13.9600</t>
  </si>
  <si>
    <t>0.2306</t>
  </si>
  <si>
    <t>0.0595</t>
  </si>
  <si>
    <t>0.1993</t>
  </si>
  <si>
    <t>0.3090</t>
  </si>
  <si>
    <t>LCSC</t>
  </si>
  <si>
    <t>Digikey</t>
  </si>
  <si>
    <t>C1647</t>
  </si>
  <si>
    <t>Custom</t>
  </si>
  <si>
    <t>DO NOT PLACE</t>
  </si>
  <si>
    <t>----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</si>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</sst>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11" fontId="15" fillId="2" borderId="7" xfId="0" applyNumberFormat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165" fontId="19" fillId="0" borderId="12" xfId="0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165" fontId="24" fillId="0" borderId="12" xfId="0" applyNumberFormat="1" applyFont="1" applyBorder="1" applyAlignment="1">
      <alignment horizontal="center" vertical="center"/>
    </xf>
    <xf numFmtId="165" fontId="22" fillId="2" borderId="8" xfId="0" applyNumberFormat="1" applyFont="1" applyFill="1" applyBorder="1" applyAlignment="1">
      <alignment horizontal="center" vertical="center" wrapText="1"/>
    </xf>
    <xf numFmtId="165" fontId="22" fillId="2" borderId="7" xfId="0" applyNumberFormat="1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22" fillId="2" borderId="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ultilayer-ceramic-capacitors-mlcc-smd-smt_murata-electronics-grm1555c1h102ja01d_C76947.html" TargetMode="External"/><Relationship Id="rId21" Type="http://schemas.openxmlformats.org/officeDocument/2006/relationships/hyperlink" Target="https://www.lcsc.com/product-detail/multilayer-ceramic-capacitors-mlcc-smd-smt_fh-guangdong-fenghua-advanced-tech-0201b102k500nt_C66942.html" TargetMode="External"/><Relationship Id="rId42" Type="http://schemas.openxmlformats.org/officeDocument/2006/relationships/hyperlink" Target="https://www.lcsc.com/product-detail/power-inductors_sunlord-wpn252012hr24mt_C305274.html" TargetMode="External"/><Relationship Id="rId47" Type="http://schemas.openxmlformats.org/officeDocument/2006/relationships/hyperlink" Target="https://www.lcsc.com/product-detail/power-inductors_sumida-0630cdmccds-3r3mc_C879414.html" TargetMode="External"/><Relationship Id="rId63" Type="http://schemas.openxmlformats.org/officeDocument/2006/relationships/hyperlink" Target="https://www.lcsc.com/product-detail/chip-resistor-surface-mount_yageo-rt0402brd07120kl_C852501.html" TargetMode="External"/><Relationship Id="rId68" Type="http://schemas.openxmlformats.org/officeDocument/2006/relationships/hyperlink" Target="https://www.lcsc.com/product-detail/chip-resistor-surface-mount_yageo-rc0201fr-07120rl_C295718.html" TargetMode="External"/><Relationship Id="rId84" Type="http://schemas.openxmlformats.org/officeDocument/2006/relationships/hyperlink" Target="https://www.lcsc.com/product-detail/chip-resistor-surface-mount_yageo-rt0402brd07150kl_C852538.html" TargetMode="External"/><Relationship Id="rId89" Type="http://schemas.openxmlformats.org/officeDocument/2006/relationships/hyperlink" Target="https://www.lcsc.com/product-detail/chip-resistor-surface-mount_yageo-rc0402fr-07100kl_C60491.html" TargetMode="External"/><Relationship Id="rId112" Type="http://schemas.openxmlformats.org/officeDocument/2006/relationships/printerSettings" Target="../printerSettings/printerSettings1.bin"/><Relationship Id="rId16" Type="http://schemas.openxmlformats.org/officeDocument/2006/relationships/hyperlink" Target="https://www.lcsc.com/product-detail/multilayer-ceramic-capacitors-mlcc-smd-smt_tdk-c1005x5r0j225ktja0e_C343036.html" TargetMode="External"/><Relationship Id="rId107" Type="http://schemas.openxmlformats.org/officeDocument/2006/relationships/hyperlink" Target="https://www.lcsc.com/search?q=GRM31CR61E476ME44L" TargetMode="External"/><Relationship Id="rId11" Type="http://schemas.openxmlformats.org/officeDocument/2006/relationships/hyperlink" Target="https://www.lcsc.com/product-detail/multilayer-ceramic-capacitors-mlcc-smd-smt_yageo-cc0603mrx5r5bb226_C109448.html" TargetMode="External"/><Relationship Id="rId32" Type="http://schemas.openxmlformats.org/officeDocument/2006/relationships/hyperlink" Target="https://www.lcsc.com/product-detail/esd-and-surge-protection-tvs-esd_tech-public-esd9x5vu_C2875160.html" TargetMode="External"/><Relationship Id="rId37" Type="http://schemas.openxmlformats.org/officeDocument/2006/relationships/hyperlink" Target="https://www.lcsc.com/product-detail/pin-headers_xkb-connection-x6511wv-03h-c60d30_C706875.html" TargetMode="External"/><Relationship Id="rId53" Type="http://schemas.openxmlformats.org/officeDocument/2006/relationships/hyperlink" Target="https://www.lcsc.com/product-detail/chip-resistor-surface-mount_yageo-rc0402fr-0720kl_C93942.html" TargetMode="External"/><Relationship Id="rId58" Type="http://schemas.openxmlformats.org/officeDocument/2006/relationships/hyperlink" Target="https://www.lcsc.com/product-detail/chip-resistor-surface-mount_yageo-rc0402fr-0751kl_C107229.html" TargetMode="External"/><Relationship Id="rId74" Type="http://schemas.openxmlformats.org/officeDocument/2006/relationships/hyperlink" Target="https://www.lcsc.com/product-detail/chip-resistor-surface-mount_yageo-rc0201dr-071k62l_C851673.html" TargetMode="External"/><Relationship Id="rId79" Type="http://schemas.openxmlformats.org/officeDocument/2006/relationships/hyperlink" Target="https://www.lcsc.com/product-detail/chip-resistor-surface-mount_yageo-rc0603fr-071ml_C105578.html" TargetMode="External"/><Relationship Id="rId102" Type="http://schemas.openxmlformats.org/officeDocument/2006/relationships/hyperlink" Target="https://www.lcsc.com/product-detail/crystals_yxc-crystal-oscillators-x322524mob4si_C70590.html" TargetMode="External"/><Relationship Id="rId5" Type="http://schemas.openxmlformats.org/officeDocument/2006/relationships/hyperlink" Target="https://www.lcsc.com/product-detail/multilayer-ceramic-capacitors-mlcc-smd-smt_yageo-cc0402krx5r6bb475_C326586.html" TargetMode="External"/><Relationship Id="rId90" Type="http://schemas.openxmlformats.org/officeDocument/2006/relationships/hyperlink" Target="https://www.lcsc.com/product-detail/tactile-switches_omron-electronics-b3u-1000p_C231329.html" TargetMode="External"/><Relationship Id="rId95" Type="http://schemas.openxmlformats.org/officeDocument/2006/relationships/hyperlink" Target="https://www.lcsc.com/product-detail/dc-dc-converters_silergy-corp-syr838pkc_C178249.html" TargetMode="External"/><Relationship Id="rId22" Type="http://schemas.openxmlformats.org/officeDocument/2006/relationships/hyperlink" Target="https://www.lcsc.com/product-detail/multilayer-ceramic-capacitors-mlcc-smd-smt_murata-electronics-grm155r71h104me14d_C182412.html" TargetMode="External"/><Relationship Id="rId27" Type="http://schemas.openxmlformats.org/officeDocument/2006/relationships/hyperlink" Target="https://www.lcsc.com/product-detail/multilayer-ceramic-capacitors-mlcc-smd-smt_murata-electronics-grm1555c1h101ja01d_C77177.html" TargetMode="External"/><Relationship Id="rId43" Type="http://schemas.openxmlformats.org/officeDocument/2006/relationships/hyperlink" Target="https://www.lcsc.com/product-detail/power-inductors_yjycoin-yhnr3012-r47m_C20416183.html" TargetMode="External"/><Relationship Id="rId48" Type="http://schemas.openxmlformats.org/officeDocument/2006/relationships/hyperlink" Target="https://www.lcsc.com/product-detail/led-indication-discrete_xinglight-xl-3528surubc_C2843811.html" TargetMode="External"/><Relationship Id="rId64" Type="http://schemas.openxmlformats.org/officeDocument/2006/relationships/hyperlink" Target="https://www.lcsc.com/product-detail/chip-resistor-surface-mount_yageo-rc0402fr-0747kl_C93943.html" TargetMode="External"/><Relationship Id="rId69" Type="http://schemas.openxmlformats.org/officeDocument/2006/relationships/hyperlink" Target="https://www.lcsc.com/product-detail/chip-resistor-surface-mount_yageo-rc0402fr-071ml_C138033.html" TargetMode="External"/><Relationship Id="rId80" Type="http://schemas.openxmlformats.org/officeDocument/2006/relationships/hyperlink" Target="https://www.lcsc.com/product-detail/chip-resistor-surface-mount_yageo-rt0603bre072kl_C136954.html" TargetMode="External"/><Relationship Id="rId85" Type="http://schemas.openxmlformats.org/officeDocument/2006/relationships/hyperlink" Target="https://www.lcsc.com/product-detail/chip-resistor-surface-mount_yageo-rc0402fr-0710kl_C60490.html" TargetMode="External"/><Relationship Id="rId12" Type="http://schemas.openxmlformats.org/officeDocument/2006/relationships/hyperlink" Target="https://www.lcsc.com/product-detail/multilayer-ceramic-capacitors-mlcc-smd-smt_samsung-electro-mechanics-cl05a106mp5nunc_C315248.html" TargetMode="External"/><Relationship Id="rId17" Type="http://schemas.openxmlformats.org/officeDocument/2006/relationships/hyperlink" Target="https://www.lcsc.com/product-detail/multilayer-ceramic-capacitors-mlcc-smd-smt_yageo-cc0402krx5r6bb104_C129131.html" TargetMode="External"/><Relationship Id="rId33" Type="http://schemas.openxmlformats.org/officeDocument/2006/relationships/hyperlink" Target="https://www.lcsc.com/product-detail/esd-and-surge-protection-tvs-esd_willsemi-will-semicon-esd5304d-10-tr_C153722.html" TargetMode="External"/><Relationship Id="rId38" Type="http://schemas.openxmlformats.org/officeDocument/2006/relationships/hyperlink" Target="https://www.lcsc.com/product-detail/usb-connectors_amphenol-icc-10118192-0001lf_C132564.html" TargetMode="External"/><Relationship Id="rId59" Type="http://schemas.openxmlformats.org/officeDocument/2006/relationships/hyperlink" Target="https://www.lcsc.com/product-detail/chip-resistor-surface-mount_yageo-rc0402fr-07100rl_C106232.html" TargetMode="External"/><Relationship Id="rId103" Type="http://schemas.openxmlformats.org/officeDocument/2006/relationships/hyperlink" Target="https://www.lcsc.com/product-detail/crystals_seiko-epson-q22fa12800078_C255897.html" TargetMode="External"/><Relationship Id="rId108" Type="http://schemas.openxmlformats.org/officeDocument/2006/relationships/hyperlink" Target="https://www.lcsc.com/product-detail/Power-Distribution-Switches_Diodes-Incorporated-AP2331SA-7_C500764.html" TargetMode="External"/><Relationship Id="rId54" Type="http://schemas.openxmlformats.org/officeDocument/2006/relationships/hyperlink" Target="https://www.lcsc.com/product-detail/chip-resistor-surface-mount_yageo-rc0402fr-07100kl_C60491.html" TargetMode="External"/><Relationship Id="rId70" Type="http://schemas.openxmlformats.org/officeDocument/2006/relationships/hyperlink" Target="https://www.lcsc.com/product-detail/chip-resistor-surface-mount_yageo-rc0402fr-0710kl_C60490.html" TargetMode="External"/><Relationship Id="rId75" Type="http://schemas.openxmlformats.org/officeDocument/2006/relationships/hyperlink" Target="https://www.lcsc.com/product-detail/chip-resistor-surface-mount_yageo-rc0402fr-074k7l_C105871.html" TargetMode="External"/><Relationship Id="rId91" Type="http://schemas.openxmlformats.org/officeDocument/2006/relationships/hyperlink" Target="https://www.lcsc.com/product-detail/microcontrollers-mcu-mpu-soc_rockchip-rk3566_C2943786.html" TargetMode="External"/><Relationship Id="rId96" Type="http://schemas.openxmlformats.org/officeDocument/2006/relationships/hyperlink" Target="https://www.lcsc.com/product-detail/dc-dc-converters_sct-sct2450ster_C509400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rm1555c1h100ja01d_C76946.html" TargetMode="External"/><Relationship Id="rId15" Type="http://schemas.openxmlformats.org/officeDocument/2006/relationships/hyperlink" Target="https://www.lcsc.com/product-detail/multilayer-ceramic-capacitors-mlcc-smd-smt_yageo-cc0603krx5r6bb106_C326057.html" TargetMode="External"/><Relationship Id="rId23" Type="http://schemas.openxmlformats.org/officeDocument/2006/relationships/hyperlink" Target="https://www.lcsc.com/product-detail/multilayer-ceramic-capacitors-mlcc-smd-smt_yageo-cc1206kkx7rcbb472_C107198.html" TargetMode="External"/><Relationship Id="rId28" Type="http://schemas.openxmlformats.org/officeDocument/2006/relationships/hyperlink" Target="https://www.lcsc.com/product-detail/multilayer-ceramic-capacitors-mlcc-smd-smt_murata-electronics-gjm1555c1h120gb01d_C161305.html" TargetMode="External"/><Relationship Id="rId36" Type="http://schemas.openxmlformats.org/officeDocument/2006/relationships/hyperlink" Target="https://www.lcsc.com/product-detail/ferrite-beads_murata-electronics-blm18sg700tn1d_C113031.html" TargetMode="External"/><Relationship Id="rId49" Type="http://schemas.openxmlformats.org/officeDocument/2006/relationships/hyperlink" Target="https://www.lcsc.com/product-detail/bipolar-bjt_jiangsu-changjing-electronics-technology-co-ltd-s8050-range-120-200_C105433.html" TargetMode="External"/><Relationship Id="rId57" Type="http://schemas.openxmlformats.org/officeDocument/2006/relationships/hyperlink" Target="https://www.lcsc.com/product-detail/chip-resistor-surface-mount_yageo-rc0402fr-07200kl_C114763.html" TargetMode="External"/><Relationship Id="rId106" Type="http://schemas.openxmlformats.org/officeDocument/2006/relationships/hyperlink" Target="https://www.digikey.com/en/products/detail/pulse-electronics/W3006/2267869" TargetMode="External"/><Relationship Id="rId10" Type="http://schemas.openxmlformats.org/officeDocument/2006/relationships/hyperlink" Target="https://www.lcsc.com/product-detail/multilayer-ceramic-capacitors-mlcc-smd-smt_yageo-cc0402krx5r6bb105_C106254.html" TargetMode="External"/><Relationship Id="rId31" Type="http://schemas.openxmlformats.org/officeDocument/2006/relationships/hyperlink" Target="https://www.lcsc.com/product-detail/esd-and-surge-protection-tvs-esd_tech-public-esd5451n_C2936977.html" TargetMode="External"/><Relationship Id="rId44" Type="http://schemas.openxmlformats.org/officeDocument/2006/relationships/hyperlink" Target="https://www.lcsc.com/product-detail/common-mode-filters_sunlord-sdmm0806h-2-900t_C370285.html" TargetMode="External"/><Relationship Id="rId52" Type="http://schemas.openxmlformats.org/officeDocument/2006/relationships/hyperlink" Target="https://www.lcsc.com/product-detail/chip-resistor-surface-mount_yageo-rc0402fr-070rl_C106231.html" TargetMode="External"/><Relationship Id="rId60" Type="http://schemas.openxmlformats.org/officeDocument/2006/relationships/hyperlink" Target="https://www.lcsc.com/product-detail/chip-resistor-surface-mount_yageo-rt0402brd0715kl_C852545.html" TargetMode="External"/><Relationship Id="rId65" Type="http://schemas.openxmlformats.org/officeDocument/2006/relationships/hyperlink" Target="https://www.lcsc.com/product-detail/chip-resistor-surface-mount_yageo-rc0402fr-070rl_C106231.html" TargetMode="External"/><Relationship Id="rId73" Type="http://schemas.openxmlformats.org/officeDocument/2006/relationships/hyperlink" Target="https://www.lcsc.com/product-detail/chip-resistor-surface-mount_yageo-rc0201fr-0710kl_C106225.html" TargetMode="External"/><Relationship Id="rId78" Type="http://schemas.openxmlformats.org/officeDocument/2006/relationships/hyperlink" Target="https://www.lcsc.com/product-detail/chip-resistor-surface-mount_yageo-rc0402fr-070rl_C106231.html" TargetMode="External"/><Relationship Id="rId81" Type="http://schemas.openxmlformats.org/officeDocument/2006/relationships/hyperlink" Target="https://www.lcsc.com/product-detail/chip-resistor-surface-mount_yageo-rt0402brd07100kl_C852472.html" TargetMode="External"/><Relationship Id="rId86" Type="http://schemas.openxmlformats.org/officeDocument/2006/relationships/hyperlink" Target="https://www.lcsc.com/product-detail/chip-resistor-surface-mount_yageo-rc0402fr-076k04l_C97819.html" TargetMode="External"/><Relationship Id="rId94" Type="http://schemas.openxmlformats.org/officeDocument/2006/relationships/hyperlink" Target="https://www.lcsc.com/product-detail/power-distribution-switches_silergy-corp-sy6280aac_C55136.html" TargetMode="External"/><Relationship Id="rId99" Type="http://schemas.openxmlformats.org/officeDocument/2006/relationships/hyperlink" Target="https://www.lcsc.com/product-detail/ddr-sdram_samsung-k4ube3d4aa-mgcl_C2920257.html" TargetMode="External"/><Relationship Id="rId101" Type="http://schemas.openxmlformats.org/officeDocument/2006/relationships/hyperlink" Target="https://www.lcsc.com/product-detail/crystals_taitien-elec-xdmczlnddf-0-032768mhz_C521573.html" TargetMode="External"/><Relationship Id="rId4" Type="http://schemas.openxmlformats.org/officeDocument/2006/relationships/hyperlink" Target="https://www.lcsc.com/product-detail/multilayer-ceramic-capacitors-mlcc-smd-smt_yageo-cc0402krx5r6bb104_C129131.html" TargetMode="External"/><Relationship Id="rId9" Type="http://schemas.openxmlformats.org/officeDocument/2006/relationships/hyperlink" Target="https://www.lcsc.com/product-detail/multilayer-ceramic-capacitors-mlcc-smd-smt_yageo-cc0402krx7r9bb472_C106208.html" TargetMode="External"/><Relationship Id="rId13" Type="http://schemas.openxmlformats.org/officeDocument/2006/relationships/hyperlink" Target="https://www.lcsc.com/product-detail/multilayer-ceramic-capacitors-mlcc-smd-smt_yageo-cc0201krx5r6bb104_C190183.html" TargetMode="External"/><Relationship Id="rId18" Type="http://schemas.openxmlformats.org/officeDocument/2006/relationships/hyperlink" Target="https://www.lcsc.com/product-detail/multilayer-ceramic-capacitors-mlcc-smd-smt_murata-electronics-grm21br61a476me15k_C2292827.html" TargetMode="External"/><Relationship Id="rId39" Type="http://schemas.openxmlformats.org/officeDocument/2006/relationships/hyperlink" Target="https://www.lcsc.com/product-detail/usb-connectors_amphenol-icc-12401832e402a_C464604.html" TargetMode="External"/><Relationship Id="rId109" Type="http://schemas.openxmlformats.org/officeDocument/2006/relationships/hyperlink" Target="https://www.lcsc.com/product-detail/NOR-FLASH_Winbond-Elec-W25Q128JWSIQ_C2763561.html" TargetMode="External"/><Relationship Id="rId34" Type="http://schemas.openxmlformats.org/officeDocument/2006/relationships/hyperlink" Target="https://www.lcsc.com/product-detail/esd-and-surge-protection-tvs-esd_willsemi-will-semicon-esd5341n-2-tr_C239773.html" TargetMode="External"/><Relationship Id="rId50" Type="http://schemas.openxmlformats.org/officeDocument/2006/relationships/hyperlink" Target="https://www.lcsc.com/product-detail/chip-resistor-surface-mount_yageo-rc0402fr-0710kl_C60490.html" TargetMode="External"/><Relationship Id="rId55" Type="http://schemas.openxmlformats.org/officeDocument/2006/relationships/hyperlink" Target="https://www.lcsc.com/product-detail/chip-resistor-surface-mount_yageo-rc0402fr-072k2l_C114762.html" TargetMode="External"/><Relationship Id="rId76" Type="http://schemas.openxmlformats.org/officeDocument/2006/relationships/hyperlink" Target="https://www.lcsc.com/product-detail/chip-resistor-surface-mount_yageo-rc0402fr-074k7l_C105871.html" TargetMode="External"/><Relationship Id="rId97" Type="http://schemas.openxmlformats.org/officeDocument/2006/relationships/hyperlink" Target="https://www.lcsc.com/product-detail/power-management-specialized_rockchip-rk809-5_C2939628.html" TargetMode="External"/><Relationship Id="rId104" Type="http://schemas.openxmlformats.org/officeDocument/2006/relationships/hyperlink" Target="https://www.lcsc.com/product-detail/crystal-oscillators_shenzhen-sctf-elec-sx3m32-768kd10f20tln_C21547574.html" TargetMode="External"/><Relationship Id="rId7" Type="http://schemas.openxmlformats.org/officeDocument/2006/relationships/hyperlink" Target="https://www.lcsc.com/product-detail/multilayer-ceramic-capacitors-mlcc-smd-smt_murata-electronics-grm158r61a226me15d_C3845593.html" TargetMode="External"/><Relationship Id="rId71" Type="http://schemas.openxmlformats.org/officeDocument/2006/relationships/hyperlink" Target="https://www.lcsc.com/product-detail/chip-resistor-surface-mount_yageo-rc0402fr-0733rl_C138002.html" TargetMode="External"/><Relationship Id="rId92" Type="http://schemas.openxmlformats.org/officeDocument/2006/relationships/hyperlink" Target="https://www.lcsc.com/product-detail/interface-specialized_texas-instruments-tpd12s016pwr_C201665.html" TargetMode="External"/><Relationship Id="rId2" Type="http://schemas.openxmlformats.org/officeDocument/2006/relationships/hyperlink" Target="https://www.lcsc.com/product-detail/multilayer-ceramic-capacitors-mlcc-smd-smt_yageo-cc0402krx5r7bb104_C106204.html" TargetMode="External"/><Relationship Id="rId29" Type="http://schemas.openxmlformats.org/officeDocument/2006/relationships/hyperlink" Target="https://www.lcsc.com/product-detail/multilayer-ceramic-capacitors-mlcc-smd-smt_yageo-cc0402crnpo9bn6r8_C189470.html" TargetMode="External"/><Relationship Id="rId24" Type="http://schemas.openxmlformats.org/officeDocument/2006/relationships/hyperlink" Target="https://www.lcsc.com/product-detail/multilayer-ceramic-capacitors-mlcc-smd-smt_yageo-cq0402grnpo9bn150_C577406.html" TargetMode="External"/><Relationship Id="rId40" Type="http://schemas.openxmlformats.org/officeDocument/2006/relationships/hyperlink" Target="https://www.lcsc.com/product-detail/d-sub-vga-connectors_molex-467651001_C563878.html" TargetMode="External"/><Relationship Id="rId45" Type="http://schemas.openxmlformats.org/officeDocument/2006/relationships/hyperlink" Target="https://www.lcsc.com/product-detail/power-inductors_sunlord-wpn4020h2r2mt_C98361.html" TargetMode="External"/><Relationship Id="rId66" Type="http://schemas.openxmlformats.org/officeDocument/2006/relationships/hyperlink" Target="https://www.lcsc.com/product-detail/chip-resistor-surface-mount_yageo-rt0402dre0731k6l_C853910.html" TargetMode="External"/><Relationship Id="rId87" Type="http://schemas.openxmlformats.org/officeDocument/2006/relationships/hyperlink" Target="https://www.lcsc.com/product-detail/chip-resistor-surface-mount_yageo-rc0402fr-0730kl_C138008.html" TargetMode="External"/><Relationship Id="rId110" Type="http://schemas.openxmlformats.org/officeDocument/2006/relationships/hyperlink" Target="https://www.lcsc.com/product-detail/DC-DC-Converters_Texas-Instruments-TLV62569DBVR_C141836.html" TargetMode="External"/><Relationship Id="rId61" Type="http://schemas.openxmlformats.org/officeDocument/2006/relationships/hyperlink" Target="https://www.lcsc.com/product-detail/chip-resistor-surface-mount_yageo-rc0402fr-07560rl_C163460.html" TargetMode="External"/><Relationship Id="rId82" Type="http://schemas.openxmlformats.org/officeDocument/2006/relationships/hyperlink" Target="https://www.lcsc.com/product-detail/chip-resistor-surface-mount_yageo-rc0402fr-07240rl_C114755.html" TargetMode="External"/><Relationship Id="rId19" Type="http://schemas.openxmlformats.org/officeDocument/2006/relationships/hyperlink" Target="https://www.lcsc.com/product-detail/multilayer-ceramic-capacitors-mlcc-smd-smt_samsung-electro-mechanics-cl10c180jb8nnnc_C1647.html" TargetMode="External"/><Relationship Id="rId14" Type="http://schemas.openxmlformats.org/officeDocument/2006/relationships/hyperlink" Target="https://www.lcsc.com/product-detail/multilayer-ceramic-capacitors-mlcc-smd-smt_yageo-cc0402jrnpo9bn220_C106203.html" TargetMode="External"/><Relationship Id="rId30" Type="http://schemas.openxmlformats.org/officeDocument/2006/relationships/hyperlink" Target="https://www.lcsc.com/product-detail/multilayer-ceramic-capacitors-mlcc-smd-smt_yageo-cc0603jrnpo9bn150_C107037.html" TargetMode="External"/><Relationship Id="rId35" Type="http://schemas.openxmlformats.org/officeDocument/2006/relationships/hyperlink" Target="https://www.lcsc.com/product-detail/resettable-fuses_techfuse-msmd300_C69689.html" TargetMode="External"/><Relationship Id="rId56" Type="http://schemas.openxmlformats.org/officeDocument/2006/relationships/hyperlink" Target="https://www.lcsc.com/product-detail/chip-resistor-surface-mount_yageo-rc0402fr-0733kl_C138003.html" TargetMode="External"/><Relationship Id="rId77" Type="http://schemas.openxmlformats.org/officeDocument/2006/relationships/hyperlink" Target="https://www.lcsc.com/product-detail/chip-resistor-surface-mount_yageo-rc0402fr-071kl_C106235.html" TargetMode="External"/><Relationship Id="rId100" Type="http://schemas.openxmlformats.org/officeDocument/2006/relationships/hyperlink" Target="https://www.lcsc.com/product-detail/wifi-modules_ampak-tech-ap6275s_C2918717.html" TargetMode="External"/><Relationship Id="rId105" Type="http://schemas.openxmlformats.org/officeDocument/2006/relationships/hyperlink" Target="https://www.lcsc.com/product-detail/crystals_ndk-nx2520sa-27mhz-std-csw-5_C910047.html" TargetMode="External"/><Relationship Id="rId8" Type="http://schemas.openxmlformats.org/officeDocument/2006/relationships/hyperlink" Target="https://www.lcsc.com/product-detail/multilayer-ceramic-capacitors-mlcc-smd-smt_samsung-electro-mechanics-cl21a226moclrnc_C398815.html" TargetMode="External"/><Relationship Id="rId51" Type="http://schemas.openxmlformats.org/officeDocument/2006/relationships/hyperlink" Target="https://www.lcsc.com/product-detail/chip-resistor-surface-mount_yageo-rc0402fr-0722rl_C114765.html" TargetMode="External"/><Relationship Id="rId72" Type="http://schemas.openxmlformats.org/officeDocument/2006/relationships/hyperlink" Target="https://www.lcsc.com/product-detail/chip-resistor-surface-mount_yageo-rc0402fr-072r2l_C327251.html" TargetMode="External"/><Relationship Id="rId93" Type="http://schemas.openxmlformats.org/officeDocument/2006/relationships/hyperlink" Target="https://www.lcsc.com/product-detail/emmc_samsung-klm8g1getf-b041_C499918.html" TargetMode="External"/><Relationship Id="rId98" Type="http://schemas.openxmlformats.org/officeDocument/2006/relationships/hyperlink" Target="https://www.lcsc.com/product-detail/dc-dc-converters_silergy-corp-sy8089aaac_C78988.html" TargetMode="External"/><Relationship Id="rId3" Type="http://schemas.openxmlformats.org/officeDocument/2006/relationships/hyperlink" Target="https://www.lcsc.com/product-detail/multilayer-ceramic-capacitors-mlcc-smd-smt_yageo-cc0402mrx5r6bb106_C962143.html" TargetMode="External"/><Relationship Id="rId25" Type="http://schemas.openxmlformats.org/officeDocument/2006/relationships/hyperlink" Target="https://www.lcsc.com/product-detail/multilayer-ceramic-capacitors-mlcc-smd-smt_murata-electronics-grm188r60j106me47d_C77041.html" TargetMode="External"/><Relationship Id="rId46" Type="http://schemas.openxmlformats.org/officeDocument/2006/relationships/hyperlink" Target="https://www.lcsc.com/product-detail/power-inductors_yjycoin-yspi0520-2r2m_C718375.html" TargetMode="External"/><Relationship Id="rId67" Type="http://schemas.openxmlformats.org/officeDocument/2006/relationships/hyperlink" Target="https://www.lcsc.com/product-detail/chip-resistor-surface-mount_yageo-re0402dre0710kl_C851874.html" TargetMode="External"/><Relationship Id="rId20" Type="http://schemas.openxmlformats.org/officeDocument/2006/relationships/hyperlink" Target="https://www.lcsc.com/product-detail/multilayer-ceramic-capacitors-mlcc-smd-smt_yageo-cc0402krx5r5bb475_C541466.html" TargetMode="External"/><Relationship Id="rId41" Type="http://schemas.openxmlformats.org/officeDocument/2006/relationships/hyperlink" Target="https://www.lcsc.com/product-detail/power-inductors_sunlord-wpn3012h2r2mt_C98355.html" TargetMode="External"/><Relationship Id="rId62" Type="http://schemas.openxmlformats.org/officeDocument/2006/relationships/hyperlink" Target="https://www.lcsc.com/product-detail/chip-resistor-surface-mount_yageo-rc0402fr-079k1l_C163450.html" TargetMode="External"/><Relationship Id="rId83" Type="http://schemas.openxmlformats.org/officeDocument/2006/relationships/hyperlink" Target="https://www.lcsc.com/product-detail/chip-resistor-surface-mount_yageo-rc0402fr-0710kl_C60490.html" TargetMode="External"/><Relationship Id="rId88" Type="http://schemas.openxmlformats.org/officeDocument/2006/relationships/hyperlink" Target="https://www.lcsc.com/product-detail/chip-resistor-surface-mount_yageo-rc0402fr-071kl_C106235.html" TargetMode="External"/><Relationship Id="rId111" Type="http://schemas.openxmlformats.org/officeDocument/2006/relationships/hyperlink" Target="https://vi.aliexpress.com/item/1005006249490541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33"/>
  <sheetViews>
    <sheetView tabSelected="1" topLeftCell="E1" workbookViewId="0">
      <selection activeCell="O8" sqref="O8:P8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6.1406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5"/>
      <c r="L1" s="55"/>
      <c r="M1" s="55"/>
      <c r="N1" s="55"/>
      <c r="O1" s="55"/>
      <c r="P1" s="55"/>
      <c r="Q1" s="55"/>
      <c r="R1" s="55"/>
    </row>
    <row r="2" spans="1:18" ht="32.25" thickBot="1">
      <c r="A2" s="1"/>
      <c r="B2" s="7"/>
      <c r="C2" s="13"/>
      <c r="D2" s="4" t="s">
        <v>0</v>
      </c>
      <c r="E2" s="4"/>
      <c r="F2" s="40" t="s">
        <v>563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564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26</v>
      </c>
      <c r="E7" s="12" t="s">
        <v>139</v>
      </c>
      <c r="F7" s="12" t="s">
        <v>242</v>
      </c>
      <c r="G7" s="12" t="s">
        <v>279</v>
      </c>
      <c r="H7" s="12" t="s">
        <v>376</v>
      </c>
      <c r="I7" s="12" t="s">
        <v>565</v>
      </c>
      <c r="J7" s="12" t="s">
        <v>410</v>
      </c>
      <c r="K7" s="12" t="s">
        <v>566</v>
      </c>
      <c r="L7" s="12" t="s">
        <v>562</v>
      </c>
      <c r="M7" s="12" t="s">
        <v>569</v>
      </c>
      <c r="N7" s="12" t="s">
        <v>570</v>
      </c>
      <c r="O7" s="12" t="s">
        <v>567</v>
      </c>
      <c r="P7" s="43" t="s">
        <v>571</v>
      </c>
      <c r="Q7" s="12" t="s">
        <v>572</v>
      </c>
      <c r="R7" s="12" t="s">
        <v>568</v>
      </c>
    </row>
    <row r="8" spans="1:18">
      <c r="A8" s="1"/>
      <c r="B8" s="16">
        <f>ROW(B8) - ROW($B$7)</f>
        <v>1</v>
      </c>
      <c r="C8" s="22" t="s">
        <v>6</v>
      </c>
      <c r="D8" s="14" t="s">
        <v>27</v>
      </c>
      <c r="E8" s="14" t="s">
        <v>140</v>
      </c>
      <c r="F8" s="14" t="s">
        <v>243</v>
      </c>
      <c r="G8" s="14" t="s">
        <v>280</v>
      </c>
      <c r="H8" s="14" t="s">
        <v>377</v>
      </c>
      <c r="I8" s="53" t="s">
        <v>661</v>
      </c>
      <c r="J8" s="14" t="s">
        <v>502</v>
      </c>
      <c r="K8" s="14" t="s">
        <v>502</v>
      </c>
      <c r="L8" s="14">
        <v>2</v>
      </c>
      <c r="M8" s="14">
        <f>L8*5</f>
        <v>10</v>
      </c>
      <c r="N8" s="14">
        <v>11</v>
      </c>
      <c r="O8" s="45" t="s">
        <v>657</v>
      </c>
      <c r="P8" s="44">
        <v>2.1</v>
      </c>
      <c r="Q8" s="15">
        <f>P8*N8</f>
        <v>23.1</v>
      </c>
      <c r="R8" s="14"/>
    </row>
    <row r="9" spans="1:18">
      <c r="A9" s="1"/>
      <c r="B9" s="17">
        <f t="shared" ref="B9:B119" si="0">ROW(B9) - ROW($B$7)</f>
        <v>2</v>
      </c>
      <c r="C9" s="23" t="s">
        <v>7</v>
      </c>
      <c r="D9" s="20" t="s">
        <v>28</v>
      </c>
      <c r="E9" s="20" t="s">
        <v>141</v>
      </c>
      <c r="F9" s="20" t="s">
        <v>244</v>
      </c>
      <c r="G9" s="20" t="s">
        <v>281</v>
      </c>
      <c r="H9" s="20" t="s">
        <v>378</v>
      </c>
      <c r="I9" s="53" t="s">
        <v>661</v>
      </c>
      <c r="J9" s="20" t="s">
        <v>411</v>
      </c>
      <c r="K9" s="20" t="s">
        <v>508</v>
      </c>
      <c r="L9" s="20">
        <v>2</v>
      </c>
      <c r="M9" s="20">
        <f t="shared" ref="M9" si="1">L9*5</f>
        <v>10</v>
      </c>
      <c r="N9" s="14" t="s">
        <v>575</v>
      </c>
      <c r="O9" s="45" t="s">
        <v>656</v>
      </c>
      <c r="P9" s="44">
        <v>4.0000000000000001E-3</v>
      </c>
      <c r="Q9" s="21">
        <f t="shared" ref="Q9" si="2">P9*N9</f>
        <v>0.4</v>
      </c>
      <c r="R9" s="20"/>
    </row>
    <row r="10" spans="1:18" ht="36">
      <c r="A10" s="1"/>
      <c r="B10" s="16">
        <f>ROW(B10) - ROW($B$7)</f>
        <v>3</v>
      </c>
      <c r="C10" s="23" t="s">
        <v>7</v>
      </c>
      <c r="D10" s="14" t="s">
        <v>29</v>
      </c>
      <c r="E10" s="14" t="s">
        <v>142</v>
      </c>
      <c r="F10" s="14" t="s">
        <v>244</v>
      </c>
      <c r="G10" s="14" t="s">
        <v>282</v>
      </c>
      <c r="H10" s="14" t="s">
        <v>378</v>
      </c>
      <c r="I10" s="53" t="s">
        <v>661</v>
      </c>
      <c r="J10" s="14" t="s">
        <v>412</v>
      </c>
      <c r="K10" s="14" t="s">
        <v>509</v>
      </c>
      <c r="L10" s="14">
        <v>14</v>
      </c>
      <c r="M10" s="14">
        <f>L10*5</f>
        <v>70</v>
      </c>
      <c r="N10" s="14" t="s">
        <v>575</v>
      </c>
      <c r="O10" s="45" t="s">
        <v>656</v>
      </c>
      <c r="P10" s="44">
        <v>1.1000000000000001E-3</v>
      </c>
      <c r="Q10" s="15">
        <f>P10*N10</f>
        <v>0.11</v>
      </c>
      <c r="R10" s="14"/>
    </row>
    <row r="11" spans="1:18">
      <c r="A11" s="1"/>
      <c r="B11" s="17">
        <f t="shared" si="0"/>
        <v>4</v>
      </c>
      <c r="C11" s="23" t="s">
        <v>7</v>
      </c>
      <c r="D11" s="20" t="s">
        <v>30</v>
      </c>
      <c r="E11" s="20" t="s">
        <v>143</v>
      </c>
      <c r="F11" s="20" t="s">
        <v>244</v>
      </c>
      <c r="G11" s="20" t="s">
        <v>283</v>
      </c>
      <c r="H11" s="20" t="s">
        <v>378</v>
      </c>
      <c r="I11" s="53" t="s">
        <v>661</v>
      </c>
      <c r="J11" s="20" t="s">
        <v>413</v>
      </c>
      <c r="K11" s="20" t="s">
        <v>510</v>
      </c>
      <c r="L11" s="20">
        <v>1</v>
      </c>
      <c r="M11" s="20">
        <f t="shared" ref="M11" si="3">L11*5</f>
        <v>5</v>
      </c>
      <c r="N11" s="14" t="s">
        <v>576</v>
      </c>
      <c r="O11" s="45" t="s">
        <v>656</v>
      </c>
      <c r="P11" s="44" t="s">
        <v>585</v>
      </c>
      <c r="Q11" s="21">
        <f t="shared" ref="Q11" si="4">P11*N11</f>
        <v>0.48199999999999998</v>
      </c>
      <c r="R11" s="20"/>
    </row>
    <row r="12" spans="1:18" ht="108">
      <c r="A12" s="1"/>
      <c r="B12" s="16">
        <f>ROW(B12) - ROW($B$7)</f>
        <v>5</v>
      </c>
      <c r="C12" s="23" t="s">
        <v>7</v>
      </c>
      <c r="D12" s="14" t="s">
        <v>31</v>
      </c>
      <c r="E12" s="14" t="s">
        <v>144</v>
      </c>
      <c r="F12" s="14" t="s">
        <v>244</v>
      </c>
      <c r="G12" s="14" t="s">
        <v>284</v>
      </c>
      <c r="H12" s="14" t="s">
        <v>378</v>
      </c>
      <c r="I12" s="53" t="s">
        <v>661</v>
      </c>
      <c r="J12" s="14" t="s">
        <v>414</v>
      </c>
      <c r="K12" s="14" t="s">
        <v>511</v>
      </c>
      <c r="L12" s="14">
        <v>53</v>
      </c>
      <c r="M12" s="14">
        <f>L12*5</f>
        <v>265</v>
      </c>
      <c r="N12" s="14" t="s">
        <v>577</v>
      </c>
      <c r="O12" s="45" t="s">
        <v>656</v>
      </c>
      <c r="P12" s="44" t="s">
        <v>584</v>
      </c>
      <c r="Q12" s="15">
        <f>P12*N12</f>
        <v>0.33</v>
      </c>
      <c r="R12" s="14"/>
    </row>
    <row r="13" spans="1:18" ht="36">
      <c r="A13" s="1"/>
      <c r="B13" s="17">
        <f t="shared" si="0"/>
        <v>6</v>
      </c>
      <c r="C13" s="23" t="s">
        <v>7</v>
      </c>
      <c r="D13" s="20" t="s">
        <v>32</v>
      </c>
      <c r="E13" s="20" t="s">
        <v>145</v>
      </c>
      <c r="F13" s="20" t="s">
        <v>244</v>
      </c>
      <c r="G13" s="20" t="s">
        <v>285</v>
      </c>
      <c r="H13" s="20" t="s">
        <v>378</v>
      </c>
      <c r="I13" s="53" t="s">
        <v>661</v>
      </c>
      <c r="J13" s="20" t="s">
        <v>415</v>
      </c>
      <c r="K13" s="20" t="s">
        <v>512</v>
      </c>
      <c r="L13" s="20">
        <v>14</v>
      </c>
      <c r="M13" s="20">
        <f t="shared" ref="M13" si="5">L13*5</f>
        <v>70</v>
      </c>
      <c r="N13" s="14" t="s">
        <v>575</v>
      </c>
      <c r="O13" s="45" t="s">
        <v>656</v>
      </c>
      <c r="P13" s="44" t="s">
        <v>586</v>
      </c>
      <c r="Q13" s="21">
        <f t="shared" ref="Q13" si="6">P13*N13</f>
        <v>1.7500000000000002</v>
      </c>
      <c r="R13" s="20"/>
    </row>
    <row r="14" spans="1:18">
      <c r="A14" s="1"/>
      <c r="B14" s="16">
        <f>ROW(B14) - ROW($B$7)</f>
        <v>7</v>
      </c>
      <c r="C14" s="23" t="s">
        <v>7</v>
      </c>
      <c r="D14" s="14" t="s">
        <v>33</v>
      </c>
      <c r="E14" s="14" t="s">
        <v>146</v>
      </c>
      <c r="F14" s="14" t="s">
        <v>244</v>
      </c>
      <c r="G14" s="14" t="s">
        <v>286</v>
      </c>
      <c r="H14" s="14" t="s">
        <v>379</v>
      </c>
      <c r="I14" s="53" t="s">
        <v>661</v>
      </c>
      <c r="J14" s="14" t="s">
        <v>416</v>
      </c>
      <c r="K14" s="14" t="s">
        <v>513</v>
      </c>
      <c r="L14" s="14">
        <v>2</v>
      </c>
      <c r="M14" s="14">
        <f>L14*5</f>
        <v>10</v>
      </c>
      <c r="N14" s="14" t="s">
        <v>575</v>
      </c>
      <c r="O14" s="45" t="s">
        <v>656</v>
      </c>
      <c r="P14" s="44" t="s">
        <v>587</v>
      </c>
      <c r="Q14" s="15">
        <f>P14*N14</f>
        <v>0.2</v>
      </c>
      <c r="R14" s="14"/>
    </row>
    <row r="15" spans="1:18" ht="48">
      <c r="A15" s="1"/>
      <c r="B15" s="17">
        <f t="shared" si="0"/>
        <v>8</v>
      </c>
      <c r="C15" s="23" t="s">
        <v>7</v>
      </c>
      <c r="D15" s="20" t="s">
        <v>34</v>
      </c>
      <c r="E15" s="20" t="s">
        <v>147</v>
      </c>
      <c r="F15" s="20" t="s">
        <v>244</v>
      </c>
      <c r="G15" s="20" t="s">
        <v>287</v>
      </c>
      <c r="H15" s="20" t="s">
        <v>379</v>
      </c>
      <c r="I15" s="53" t="s">
        <v>661</v>
      </c>
      <c r="J15" s="20" t="s">
        <v>417</v>
      </c>
      <c r="K15" s="20" t="s">
        <v>514</v>
      </c>
      <c r="L15" s="20">
        <v>23</v>
      </c>
      <c r="M15" s="20">
        <f t="shared" ref="M15" si="7">L15*5</f>
        <v>115</v>
      </c>
      <c r="N15" s="14">
        <v>120</v>
      </c>
      <c r="O15" s="45" t="s">
        <v>656</v>
      </c>
      <c r="P15" s="44" t="s">
        <v>588</v>
      </c>
      <c r="Q15" s="21">
        <f t="shared" ref="Q15" si="8">P15*N15</f>
        <v>14.196</v>
      </c>
      <c r="R15" s="20"/>
    </row>
    <row r="16" spans="1:18">
      <c r="A16" s="1"/>
      <c r="B16" s="16">
        <f>ROW(B16) - ROW($B$7)</f>
        <v>9</v>
      </c>
      <c r="C16" s="23" t="s">
        <v>7</v>
      </c>
      <c r="D16" s="14" t="s">
        <v>35</v>
      </c>
      <c r="E16" s="14" t="s">
        <v>148</v>
      </c>
      <c r="F16" s="14" t="s">
        <v>245</v>
      </c>
      <c r="G16" s="14" t="s">
        <v>288</v>
      </c>
      <c r="H16" s="14" t="s">
        <v>380</v>
      </c>
      <c r="I16" s="53" t="s">
        <v>661</v>
      </c>
      <c r="J16" s="14" t="s">
        <v>418</v>
      </c>
      <c r="K16" s="14" t="s">
        <v>514</v>
      </c>
      <c r="L16" s="14">
        <v>3</v>
      </c>
      <c r="M16" s="14">
        <f>L16*5</f>
        <v>15</v>
      </c>
      <c r="N16" s="14" t="s">
        <v>576</v>
      </c>
      <c r="O16" s="45" t="s">
        <v>656</v>
      </c>
      <c r="P16" s="44" t="s">
        <v>589</v>
      </c>
      <c r="Q16" s="15">
        <f>P16*N16</f>
        <v>1.0660000000000001</v>
      </c>
      <c r="R16" s="14"/>
    </row>
    <row r="17" spans="1:18">
      <c r="A17" s="1"/>
      <c r="B17" s="17">
        <f t="shared" si="0"/>
        <v>10</v>
      </c>
      <c r="C17" s="23" t="s">
        <v>7</v>
      </c>
      <c r="D17" s="20" t="s">
        <v>36</v>
      </c>
      <c r="E17" s="20" t="s">
        <v>149</v>
      </c>
      <c r="F17" s="20" t="s">
        <v>244</v>
      </c>
      <c r="G17" s="20" t="s">
        <v>289</v>
      </c>
      <c r="H17" s="20" t="s">
        <v>378</v>
      </c>
      <c r="I17" s="53" t="s">
        <v>661</v>
      </c>
      <c r="J17" s="20"/>
      <c r="K17" s="20" t="s">
        <v>515</v>
      </c>
      <c r="L17" s="20">
        <v>1</v>
      </c>
      <c r="M17" s="20">
        <f t="shared" ref="M17" si="9">L17*5</f>
        <v>5</v>
      </c>
      <c r="N17" s="14" t="s">
        <v>575</v>
      </c>
      <c r="O17" s="45" t="s">
        <v>656</v>
      </c>
      <c r="P17" s="44" t="s">
        <v>590</v>
      </c>
      <c r="Q17" s="21">
        <f t="shared" ref="Q17" si="10">P17*N17</f>
        <v>0.1</v>
      </c>
      <c r="R17" s="20"/>
    </row>
    <row r="18" spans="1:18" ht="60">
      <c r="A18" s="1"/>
      <c r="B18" s="16">
        <f>ROW(B18) - ROW($B$7)</f>
        <v>11</v>
      </c>
      <c r="C18" s="23" t="s">
        <v>7</v>
      </c>
      <c r="D18" s="14" t="s">
        <v>37</v>
      </c>
      <c r="E18" s="14" t="s">
        <v>150</v>
      </c>
      <c r="F18" s="14" t="s">
        <v>244</v>
      </c>
      <c r="G18" s="14" t="s">
        <v>290</v>
      </c>
      <c r="H18" s="14" t="s">
        <v>378</v>
      </c>
      <c r="I18" s="53" t="s">
        <v>661</v>
      </c>
      <c r="J18" s="14" t="s">
        <v>419</v>
      </c>
      <c r="K18" s="14" t="s">
        <v>508</v>
      </c>
      <c r="L18" s="14">
        <v>29</v>
      </c>
      <c r="M18" s="14">
        <f>L18*5</f>
        <v>145</v>
      </c>
      <c r="N18" s="14" t="s">
        <v>578</v>
      </c>
      <c r="O18" s="45" t="s">
        <v>656</v>
      </c>
      <c r="P18" s="44" t="s">
        <v>591</v>
      </c>
      <c r="Q18" s="15">
        <f>P18*N18</f>
        <v>0.52</v>
      </c>
      <c r="R18" s="14"/>
    </row>
    <row r="19" spans="1:18" ht="24">
      <c r="A19" s="1"/>
      <c r="B19" s="17">
        <f t="shared" si="0"/>
        <v>12</v>
      </c>
      <c r="C19" s="23" t="s">
        <v>7</v>
      </c>
      <c r="D19" s="20" t="s">
        <v>38</v>
      </c>
      <c r="E19" s="20" t="s">
        <v>151</v>
      </c>
      <c r="F19" s="20" t="s">
        <v>246</v>
      </c>
      <c r="G19" s="20" t="s">
        <v>291</v>
      </c>
      <c r="H19" s="20" t="s">
        <v>378</v>
      </c>
      <c r="I19" s="53" t="s">
        <v>661</v>
      </c>
      <c r="J19" s="20" t="s">
        <v>420</v>
      </c>
      <c r="K19" s="20" t="s">
        <v>514</v>
      </c>
      <c r="L19" s="20">
        <v>9</v>
      </c>
      <c r="M19" s="20">
        <f t="shared" ref="M19" si="11">L19*5</f>
        <v>45</v>
      </c>
      <c r="N19" s="14" t="s">
        <v>579</v>
      </c>
      <c r="O19" s="45" t="s">
        <v>656</v>
      </c>
      <c r="P19" s="44" t="s">
        <v>592</v>
      </c>
      <c r="Q19" s="21">
        <f t="shared" ref="Q19" si="12">P19*N19</f>
        <v>1.145</v>
      </c>
      <c r="R19" s="20"/>
    </row>
    <row r="20" spans="1:18" ht="36">
      <c r="A20" s="1"/>
      <c r="B20" s="16">
        <f>ROW(B20) - ROW($B$7)</f>
        <v>13</v>
      </c>
      <c r="C20" s="23" t="s">
        <v>7</v>
      </c>
      <c r="D20" s="14" t="s">
        <v>39</v>
      </c>
      <c r="E20" s="14" t="s">
        <v>143</v>
      </c>
      <c r="F20" s="14" t="s">
        <v>244</v>
      </c>
      <c r="G20" s="14" t="s">
        <v>292</v>
      </c>
      <c r="H20" s="14" t="s">
        <v>380</v>
      </c>
      <c r="I20" s="53" t="s">
        <v>661</v>
      </c>
      <c r="J20" s="14" t="s">
        <v>421</v>
      </c>
      <c r="K20" s="14" t="s">
        <v>510</v>
      </c>
      <c r="L20" s="14">
        <v>15</v>
      </c>
      <c r="M20" s="14">
        <f>L20*5</f>
        <v>75</v>
      </c>
      <c r="N20" s="14" t="s">
        <v>575</v>
      </c>
      <c r="O20" s="45" t="s">
        <v>656</v>
      </c>
      <c r="P20" s="44" t="s">
        <v>593</v>
      </c>
      <c r="Q20" s="15">
        <f>P20*N20</f>
        <v>0.75</v>
      </c>
      <c r="R20" s="14"/>
    </row>
    <row r="21" spans="1:18" ht="144">
      <c r="A21" s="1"/>
      <c r="B21" s="17">
        <f t="shared" si="0"/>
        <v>14</v>
      </c>
      <c r="C21" s="23" t="s">
        <v>7</v>
      </c>
      <c r="D21" s="20" t="s">
        <v>40</v>
      </c>
      <c r="E21" s="20" t="s">
        <v>152</v>
      </c>
      <c r="F21" s="20" t="s">
        <v>247</v>
      </c>
      <c r="G21" s="20" t="s">
        <v>293</v>
      </c>
      <c r="H21" s="20" t="s">
        <v>378</v>
      </c>
      <c r="I21" s="53" t="s">
        <v>661</v>
      </c>
      <c r="J21" s="20" t="s">
        <v>422</v>
      </c>
      <c r="K21" s="20" t="s">
        <v>509</v>
      </c>
      <c r="L21" s="20">
        <v>68</v>
      </c>
      <c r="M21" s="20">
        <f t="shared" ref="M21" si="13">L21*5</f>
        <v>340</v>
      </c>
      <c r="N21" s="14" t="s">
        <v>580</v>
      </c>
      <c r="O21" s="45" t="s">
        <v>656</v>
      </c>
      <c r="P21" s="44" t="s">
        <v>584</v>
      </c>
      <c r="Q21" s="21">
        <f t="shared" ref="Q21" si="14">P21*N21</f>
        <v>0.44</v>
      </c>
      <c r="R21" s="20"/>
    </row>
    <row r="22" spans="1:18">
      <c r="A22" s="1"/>
      <c r="B22" s="16">
        <f>ROW(B22) - ROW($B$7)</f>
        <v>15</v>
      </c>
      <c r="C22" s="23" t="s">
        <v>7</v>
      </c>
      <c r="D22" s="14" t="s">
        <v>41</v>
      </c>
      <c r="E22" s="14" t="s">
        <v>153</v>
      </c>
      <c r="F22" s="14" t="s">
        <v>244</v>
      </c>
      <c r="G22" s="14" t="s">
        <v>294</v>
      </c>
      <c r="H22" s="14" t="s">
        <v>378</v>
      </c>
      <c r="I22" s="53" t="s">
        <v>661</v>
      </c>
      <c r="J22" s="14" t="s">
        <v>423</v>
      </c>
      <c r="K22" s="14" t="s">
        <v>516</v>
      </c>
      <c r="L22" s="14">
        <v>2</v>
      </c>
      <c r="M22" s="14">
        <f>L22*5</f>
        <v>10</v>
      </c>
      <c r="N22" s="14" t="s">
        <v>575</v>
      </c>
      <c r="O22" s="45" t="s">
        <v>656</v>
      </c>
      <c r="P22" s="44" t="s">
        <v>590</v>
      </c>
      <c r="Q22" s="15">
        <f>P22*N22</f>
        <v>0.1</v>
      </c>
      <c r="R22" s="14"/>
    </row>
    <row r="23" spans="1:18">
      <c r="A23" s="1"/>
      <c r="B23" s="17">
        <f t="shared" si="0"/>
        <v>16</v>
      </c>
      <c r="C23" s="23" t="s">
        <v>7</v>
      </c>
      <c r="D23" s="20" t="s">
        <v>42</v>
      </c>
      <c r="E23" s="20" t="s">
        <v>154</v>
      </c>
      <c r="F23" s="20" t="s">
        <v>246</v>
      </c>
      <c r="G23" s="20" t="s">
        <v>295</v>
      </c>
      <c r="H23" s="20" t="s">
        <v>378</v>
      </c>
      <c r="I23" s="53" t="s">
        <v>661</v>
      </c>
      <c r="J23" s="20" t="s">
        <v>424</v>
      </c>
      <c r="K23" s="20" t="s">
        <v>510</v>
      </c>
      <c r="L23" s="20">
        <v>3</v>
      </c>
      <c r="M23" s="20">
        <f t="shared" ref="M23" si="15">L23*5</f>
        <v>15</v>
      </c>
      <c r="N23" s="14" t="s">
        <v>576</v>
      </c>
      <c r="O23" s="45" t="s">
        <v>656</v>
      </c>
      <c r="P23" s="44" t="s">
        <v>594</v>
      </c>
      <c r="Q23" s="21">
        <f t="shared" ref="Q23" si="16">P23*N23</f>
        <v>0.54800000000000004</v>
      </c>
      <c r="R23" s="20"/>
    </row>
    <row r="24" spans="1:18">
      <c r="A24" s="1"/>
      <c r="B24" s="16">
        <f>ROW(B24) - ROW($B$7)</f>
        <v>17</v>
      </c>
      <c r="C24" s="23" t="s">
        <v>7</v>
      </c>
      <c r="D24" s="14" t="s">
        <v>43</v>
      </c>
      <c r="E24" s="14" t="s">
        <v>155</v>
      </c>
      <c r="F24" s="14" t="s">
        <v>244</v>
      </c>
      <c r="G24" s="14" t="s">
        <v>296</v>
      </c>
      <c r="H24" s="14" t="s">
        <v>381</v>
      </c>
      <c r="I24" s="53" t="s">
        <v>661</v>
      </c>
      <c r="J24" s="14" t="s">
        <v>425</v>
      </c>
      <c r="K24" s="14" t="s">
        <v>517</v>
      </c>
      <c r="L24" s="14">
        <v>3</v>
      </c>
      <c r="M24" s="14">
        <f>L24*5</f>
        <v>15</v>
      </c>
      <c r="N24" s="14" t="s">
        <v>576</v>
      </c>
      <c r="O24" s="45" t="s">
        <v>656</v>
      </c>
      <c r="P24" s="44" t="s">
        <v>595</v>
      </c>
      <c r="Q24" s="15">
        <f>P24*N24</f>
        <v>0.57000000000000006</v>
      </c>
      <c r="R24" s="14"/>
    </row>
    <row r="25" spans="1:18">
      <c r="A25" s="1"/>
      <c r="B25" s="17">
        <f t="shared" si="0"/>
        <v>18</v>
      </c>
      <c r="C25" s="23" t="s">
        <v>7</v>
      </c>
      <c r="D25" s="20" t="s">
        <v>44</v>
      </c>
      <c r="E25" s="20" t="s">
        <v>144</v>
      </c>
      <c r="F25" s="20" t="s">
        <v>244</v>
      </c>
      <c r="G25" s="20" t="s">
        <v>284</v>
      </c>
      <c r="H25" s="20" t="s">
        <v>378</v>
      </c>
      <c r="I25" s="53" t="s">
        <v>661</v>
      </c>
      <c r="J25" s="20" t="s">
        <v>414</v>
      </c>
      <c r="K25" s="20" t="s">
        <v>509</v>
      </c>
      <c r="L25" s="20">
        <v>4</v>
      </c>
      <c r="M25" s="20">
        <f t="shared" ref="M25" si="17">L25*5</f>
        <v>20</v>
      </c>
      <c r="N25" s="14" t="s">
        <v>575</v>
      </c>
      <c r="O25" s="45" t="s">
        <v>656</v>
      </c>
      <c r="P25" s="44" t="s">
        <v>584</v>
      </c>
      <c r="Q25" s="21">
        <f t="shared" ref="Q25" si="18">P25*N25</f>
        <v>0.11</v>
      </c>
      <c r="R25" s="20"/>
    </row>
    <row r="26" spans="1:18">
      <c r="A26" s="1"/>
      <c r="B26" s="16">
        <f>ROW(B26) - ROW($B$7)</f>
        <v>19</v>
      </c>
      <c r="C26" s="23" t="s">
        <v>7</v>
      </c>
      <c r="D26" s="14" t="s">
        <v>45</v>
      </c>
      <c r="E26" s="14" t="s">
        <v>156</v>
      </c>
      <c r="F26" s="14" t="s">
        <v>248</v>
      </c>
      <c r="G26" s="14" t="s">
        <v>297</v>
      </c>
      <c r="H26" s="14" t="s">
        <v>379</v>
      </c>
      <c r="I26" s="53" t="s">
        <v>661</v>
      </c>
      <c r="J26" s="14" t="s">
        <v>426</v>
      </c>
      <c r="K26" s="14" t="s">
        <v>518</v>
      </c>
      <c r="L26" s="14">
        <v>1</v>
      </c>
      <c r="M26" s="14">
        <f>L26*5</f>
        <v>5</v>
      </c>
      <c r="N26" s="14">
        <v>10</v>
      </c>
      <c r="O26" s="45" t="s">
        <v>656</v>
      </c>
      <c r="P26" s="44" t="s">
        <v>596</v>
      </c>
      <c r="Q26" s="15">
        <f>P26*N26</f>
        <v>2.6659999999999999</v>
      </c>
      <c r="R26" s="14"/>
    </row>
    <row r="27" spans="1:18">
      <c r="A27" s="1"/>
      <c r="B27" s="17">
        <f t="shared" si="0"/>
        <v>20</v>
      </c>
      <c r="C27" s="23" t="s">
        <v>7</v>
      </c>
      <c r="D27" s="20" t="s">
        <v>46</v>
      </c>
      <c r="E27" s="20" t="s">
        <v>157</v>
      </c>
      <c r="F27" s="20" t="s">
        <v>245</v>
      </c>
      <c r="G27" s="20" t="s">
        <v>298</v>
      </c>
      <c r="H27" s="20" t="s">
        <v>379</v>
      </c>
      <c r="I27" s="53" t="s">
        <v>661</v>
      </c>
      <c r="J27" s="20" t="s">
        <v>427</v>
      </c>
      <c r="K27" s="20" t="s">
        <v>518</v>
      </c>
      <c r="L27" s="20">
        <v>2</v>
      </c>
      <c r="M27" s="20">
        <f t="shared" ref="M27" si="19">L27*5</f>
        <v>10</v>
      </c>
      <c r="N27" s="14">
        <v>15</v>
      </c>
      <c r="O27" s="45" t="s">
        <v>656</v>
      </c>
      <c r="P27" s="44" t="s">
        <v>597</v>
      </c>
      <c r="Q27" s="21">
        <f t="shared" ref="Q27" si="20">P27*N27</f>
        <v>3.6419999999999999</v>
      </c>
      <c r="R27" s="20"/>
    </row>
    <row r="28" spans="1:18">
      <c r="A28" s="1"/>
      <c r="B28" s="16">
        <f>ROW(B28) - ROW($B$7)</f>
        <v>21</v>
      </c>
      <c r="C28" s="23" t="s">
        <v>7</v>
      </c>
      <c r="D28" s="14" t="s">
        <v>47</v>
      </c>
      <c r="E28" s="14" t="s">
        <v>158</v>
      </c>
      <c r="F28" s="14" t="s">
        <v>246</v>
      </c>
      <c r="G28" s="14" t="s">
        <v>299</v>
      </c>
      <c r="H28" s="14" t="s">
        <v>380</v>
      </c>
      <c r="I28" s="53" t="s">
        <v>661</v>
      </c>
      <c r="J28" s="14" t="s">
        <v>658</v>
      </c>
      <c r="K28" s="14" t="s">
        <v>519</v>
      </c>
      <c r="L28" s="14">
        <v>2</v>
      </c>
      <c r="M28" s="14">
        <f>L28*5</f>
        <v>10</v>
      </c>
      <c r="N28" s="14" t="s">
        <v>575</v>
      </c>
      <c r="O28" s="45" t="s">
        <v>656</v>
      </c>
      <c r="P28" s="44" t="s">
        <v>598</v>
      </c>
      <c r="Q28" s="15">
        <f>P28*N28</f>
        <v>0.48</v>
      </c>
      <c r="R28" s="14"/>
    </row>
    <row r="29" spans="1:18">
      <c r="A29" s="1"/>
      <c r="B29" s="17">
        <f t="shared" si="0"/>
        <v>22</v>
      </c>
      <c r="C29" s="23" t="s">
        <v>7</v>
      </c>
      <c r="D29" s="20" t="s">
        <v>48</v>
      </c>
      <c r="E29" s="20" t="s">
        <v>159</v>
      </c>
      <c r="F29" s="20" t="s">
        <v>244</v>
      </c>
      <c r="G29" s="20" t="s">
        <v>300</v>
      </c>
      <c r="H29" s="20" t="s">
        <v>378</v>
      </c>
      <c r="I29" s="53" t="s">
        <v>661</v>
      </c>
      <c r="J29" s="20" t="s">
        <v>428</v>
      </c>
      <c r="K29" s="20" t="s">
        <v>512</v>
      </c>
      <c r="L29" s="20">
        <v>4</v>
      </c>
      <c r="M29" s="20">
        <f t="shared" ref="M29" si="21">L29*5</f>
        <v>20</v>
      </c>
      <c r="N29" s="14" t="s">
        <v>579</v>
      </c>
      <c r="O29" s="45" t="s">
        <v>656</v>
      </c>
      <c r="P29" s="44" t="s">
        <v>599</v>
      </c>
      <c r="Q29" s="21">
        <f t="shared" ref="Q29" si="22">P29*N29</f>
        <v>0.31</v>
      </c>
      <c r="R29" s="20"/>
    </row>
    <row r="30" spans="1:18" ht="36">
      <c r="A30" s="1"/>
      <c r="B30" s="16">
        <f>ROW(B30) - ROW($B$7)</f>
        <v>23</v>
      </c>
      <c r="C30" s="23" t="s">
        <v>7</v>
      </c>
      <c r="D30" s="14" t="s">
        <v>49</v>
      </c>
      <c r="E30" s="14" t="s">
        <v>160</v>
      </c>
      <c r="F30" s="14" t="s">
        <v>247</v>
      </c>
      <c r="G30" s="14" t="s">
        <v>301</v>
      </c>
      <c r="H30" s="14" t="s">
        <v>382</v>
      </c>
      <c r="I30" s="53" t="s">
        <v>661</v>
      </c>
      <c r="J30" s="14" t="s">
        <v>429</v>
      </c>
      <c r="K30" s="14" t="s">
        <v>520</v>
      </c>
      <c r="L30" s="14">
        <v>4</v>
      </c>
      <c r="M30" s="14">
        <f>L30*5</f>
        <v>20</v>
      </c>
      <c r="N30" s="14" t="s">
        <v>575</v>
      </c>
      <c r="O30" s="45" t="s">
        <v>656</v>
      </c>
      <c r="P30" s="44" t="s">
        <v>600</v>
      </c>
      <c r="Q30" s="15">
        <f>P30*N30</f>
        <v>0.06</v>
      </c>
      <c r="R30" s="14"/>
    </row>
    <row r="31" spans="1:18">
      <c r="A31" s="1"/>
      <c r="B31" s="17">
        <f t="shared" si="0"/>
        <v>24</v>
      </c>
      <c r="C31" s="23" t="s">
        <v>7</v>
      </c>
      <c r="D31" s="20" t="s">
        <v>50</v>
      </c>
      <c r="E31" s="20" t="s">
        <v>161</v>
      </c>
      <c r="F31" s="20" t="s">
        <v>244</v>
      </c>
      <c r="G31" s="20" t="s">
        <v>302</v>
      </c>
      <c r="H31" s="20" t="s">
        <v>379</v>
      </c>
      <c r="I31" s="53" t="s">
        <v>661</v>
      </c>
      <c r="J31" s="20" t="s">
        <v>430</v>
      </c>
      <c r="K31" s="20" t="s">
        <v>511</v>
      </c>
      <c r="L31" s="20">
        <v>2</v>
      </c>
      <c r="M31" s="20">
        <f t="shared" ref="M31" si="23">L31*5</f>
        <v>10</v>
      </c>
      <c r="N31" s="14" t="s">
        <v>575</v>
      </c>
      <c r="O31" s="45" t="s">
        <v>656</v>
      </c>
      <c r="P31" s="44" t="s">
        <v>601</v>
      </c>
      <c r="Q31" s="21">
        <f t="shared" ref="Q31" si="24">P31*N31</f>
        <v>0.44999999999999996</v>
      </c>
      <c r="R31" s="20"/>
    </row>
    <row r="32" spans="1:18">
      <c r="A32" s="1"/>
      <c r="B32" s="16">
        <f>ROW(B32) - ROW($B$7)</f>
        <v>25</v>
      </c>
      <c r="C32" s="23" t="s">
        <v>7</v>
      </c>
      <c r="D32" s="14" t="s">
        <v>51</v>
      </c>
      <c r="E32" s="14" t="s">
        <v>162</v>
      </c>
      <c r="F32" s="14" t="s">
        <v>248</v>
      </c>
      <c r="G32" s="14" t="s">
        <v>303</v>
      </c>
      <c r="H32" s="14" t="s">
        <v>378</v>
      </c>
      <c r="I32" s="53" t="s">
        <v>661</v>
      </c>
      <c r="J32" s="14" t="s">
        <v>431</v>
      </c>
      <c r="K32" s="14" t="s">
        <v>515</v>
      </c>
      <c r="L32" s="14">
        <v>1</v>
      </c>
      <c r="M32" s="14">
        <f>L32*5</f>
        <v>5</v>
      </c>
      <c r="N32" s="14" t="s">
        <v>579</v>
      </c>
      <c r="O32" s="45" t="s">
        <v>656</v>
      </c>
      <c r="P32" s="44" t="s">
        <v>602</v>
      </c>
      <c r="Q32" s="15">
        <f>P32*N32</f>
        <v>0.82500000000000007</v>
      </c>
      <c r="R32" s="14"/>
    </row>
    <row r="33" spans="1:18">
      <c r="A33" s="1"/>
      <c r="B33" s="17">
        <f t="shared" si="0"/>
        <v>26</v>
      </c>
      <c r="C33" s="23" t="s">
        <v>7</v>
      </c>
      <c r="D33" s="46" t="s">
        <v>52</v>
      </c>
      <c r="E33" s="46" t="s">
        <v>163</v>
      </c>
      <c r="F33" s="46" t="s">
        <v>244</v>
      </c>
      <c r="G33" s="46" t="s">
        <v>304</v>
      </c>
      <c r="H33" s="46" t="s">
        <v>378</v>
      </c>
      <c r="I33" s="54" t="s">
        <v>661</v>
      </c>
      <c r="J33" s="46" t="s">
        <v>432</v>
      </c>
      <c r="K33" s="46" t="s">
        <v>521</v>
      </c>
      <c r="L33" s="46">
        <v>4</v>
      </c>
      <c r="M33" s="46">
        <f t="shared" ref="M33" si="25">L33*5</f>
        <v>20</v>
      </c>
      <c r="N33" s="47">
        <v>40</v>
      </c>
      <c r="O33" s="48" t="s">
        <v>656</v>
      </c>
      <c r="P33" s="49" t="s">
        <v>502</v>
      </c>
      <c r="Q33" s="50" t="s">
        <v>502</v>
      </c>
      <c r="R33" s="52" t="s">
        <v>660</v>
      </c>
    </row>
    <row r="34" spans="1:18">
      <c r="A34" s="1"/>
      <c r="B34" s="16">
        <f>ROW(B34) - ROW($B$7)</f>
        <v>27</v>
      </c>
      <c r="C34" s="23" t="s">
        <v>7</v>
      </c>
      <c r="D34" s="14" t="s">
        <v>53</v>
      </c>
      <c r="E34" s="14" t="s">
        <v>164</v>
      </c>
      <c r="F34" s="14" t="s">
        <v>246</v>
      </c>
      <c r="G34" s="14" t="s">
        <v>305</v>
      </c>
      <c r="H34" s="14" t="s">
        <v>379</v>
      </c>
      <c r="I34" s="53" t="s">
        <v>661</v>
      </c>
      <c r="J34" s="14" t="s">
        <v>433</v>
      </c>
      <c r="K34" s="14" t="s">
        <v>510</v>
      </c>
      <c r="L34" s="14">
        <v>6</v>
      </c>
      <c r="M34" s="14">
        <f>L34*5</f>
        <v>30</v>
      </c>
      <c r="N34" s="14" t="s">
        <v>579</v>
      </c>
      <c r="O34" s="45" t="s">
        <v>656</v>
      </c>
      <c r="P34" s="44" t="s">
        <v>603</v>
      </c>
      <c r="Q34" s="15">
        <f>P34*N34</f>
        <v>0.41000000000000003</v>
      </c>
      <c r="R34" s="14"/>
    </row>
    <row r="35" spans="1:18">
      <c r="A35" s="1"/>
      <c r="B35" s="17">
        <f t="shared" si="0"/>
        <v>28</v>
      </c>
      <c r="C35" s="23" t="s">
        <v>7</v>
      </c>
      <c r="D35" s="46" t="s">
        <v>54</v>
      </c>
      <c r="E35" s="46" t="s">
        <v>165</v>
      </c>
      <c r="F35" s="46" t="s">
        <v>244</v>
      </c>
      <c r="G35" s="46" t="s">
        <v>306</v>
      </c>
      <c r="H35" s="46" t="s">
        <v>379</v>
      </c>
      <c r="I35" s="54" t="s">
        <v>661</v>
      </c>
      <c r="J35" s="46" t="s">
        <v>434</v>
      </c>
      <c r="K35" s="46" t="s">
        <v>521</v>
      </c>
      <c r="L35" s="46">
        <v>1</v>
      </c>
      <c r="M35" s="46">
        <f t="shared" ref="M35" si="26">L35*5</f>
        <v>5</v>
      </c>
      <c r="N35" s="47" t="s">
        <v>575</v>
      </c>
      <c r="O35" s="48" t="s">
        <v>656</v>
      </c>
      <c r="P35" s="49" t="s">
        <v>502</v>
      </c>
      <c r="Q35" s="50" t="s">
        <v>502</v>
      </c>
      <c r="R35" s="52" t="s">
        <v>660</v>
      </c>
    </row>
    <row r="36" spans="1:18">
      <c r="A36" s="1"/>
      <c r="B36" s="16">
        <f>ROW(B36) - ROW($B$7)</f>
        <v>29</v>
      </c>
      <c r="C36" s="23" t="s">
        <v>7</v>
      </c>
      <c r="D36" s="14" t="s">
        <v>55</v>
      </c>
      <c r="E36" s="14" t="s">
        <v>166</v>
      </c>
      <c r="F36" s="14" t="s">
        <v>244</v>
      </c>
      <c r="G36" s="14" t="s">
        <v>307</v>
      </c>
      <c r="H36" s="14" t="s">
        <v>379</v>
      </c>
      <c r="I36" s="53" t="s">
        <v>661</v>
      </c>
      <c r="J36" s="14" t="s">
        <v>435</v>
      </c>
      <c r="K36" s="14" t="s">
        <v>522</v>
      </c>
      <c r="L36" s="14">
        <v>1</v>
      </c>
      <c r="M36" s="14">
        <f>L36*5</f>
        <v>5</v>
      </c>
      <c r="N36" s="14" t="s">
        <v>575</v>
      </c>
      <c r="O36" s="45" t="s">
        <v>656</v>
      </c>
      <c r="P36" s="44" t="s">
        <v>604</v>
      </c>
      <c r="Q36" s="15">
        <f>P36*N36</f>
        <v>0.21</v>
      </c>
      <c r="R36" s="14"/>
    </row>
    <row r="37" spans="1:18">
      <c r="A37" s="1"/>
      <c r="B37" s="17">
        <f t="shared" si="0"/>
        <v>30</v>
      </c>
      <c r="C37" s="23" t="s">
        <v>7</v>
      </c>
      <c r="D37" s="20" t="s">
        <v>56</v>
      </c>
      <c r="E37" s="20" t="s">
        <v>167</v>
      </c>
      <c r="F37" s="20" t="s">
        <v>244</v>
      </c>
      <c r="G37" s="20" t="s">
        <v>308</v>
      </c>
      <c r="H37" s="20" t="s">
        <v>379</v>
      </c>
      <c r="I37" s="53" t="s">
        <v>661</v>
      </c>
      <c r="J37" s="20" t="s">
        <v>436</v>
      </c>
      <c r="K37" s="20" t="s">
        <v>523</v>
      </c>
      <c r="L37" s="20">
        <v>2</v>
      </c>
      <c r="M37" s="20">
        <f t="shared" ref="M37" si="27">L37*5</f>
        <v>10</v>
      </c>
      <c r="N37" s="14" t="s">
        <v>576</v>
      </c>
      <c r="O37" s="45" t="s">
        <v>656</v>
      </c>
      <c r="P37" s="44" t="s">
        <v>605</v>
      </c>
      <c r="Q37" s="21">
        <f t="shared" ref="Q37" si="28">P37*N37</f>
        <v>0.44400000000000001</v>
      </c>
      <c r="R37" s="20"/>
    </row>
    <row r="38" spans="1:18">
      <c r="A38" s="1"/>
      <c r="B38" s="16">
        <f>ROW(B38) - ROW($B$7)</f>
        <v>31</v>
      </c>
      <c r="C38" s="23" t="s">
        <v>7</v>
      </c>
      <c r="D38" s="47" t="s">
        <v>57</v>
      </c>
      <c r="E38" s="47" t="s">
        <v>168</v>
      </c>
      <c r="F38" s="47" t="s">
        <v>244</v>
      </c>
      <c r="G38" s="47" t="s">
        <v>309</v>
      </c>
      <c r="H38" s="47" t="s">
        <v>378</v>
      </c>
      <c r="I38" s="54" t="s">
        <v>661</v>
      </c>
      <c r="J38" s="47" t="s">
        <v>437</v>
      </c>
      <c r="K38" s="47" t="s">
        <v>524</v>
      </c>
      <c r="L38" s="47">
        <v>1</v>
      </c>
      <c r="M38" s="47">
        <f>L38*5</f>
        <v>5</v>
      </c>
      <c r="N38" s="47" t="s">
        <v>575</v>
      </c>
      <c r="O38" s="48" t="s">
        <v>656</v>
      </c>
      <c r="P38" s="49" t="s">
        <v>502</v>
      </c>
      <c r="Q38" s="51" t="s">
        <v>502</v>
      </c>
      <c r="R38" s="52" t="s">
        <v>660</v>
      </c>
    </row>
    <row r="39" spans="1:18">
      <c r="A39" s="1"/>
      <c r="B39" s="17">
        <f t="shared" si="0"/>
        <v>32</v>
      </c>
      <c r="C39" s="23" t="s">
        <v>7</v>
      </c>
      <c r="D39" s="20" t="s">
        <v>58</v>
      </c>
      <c r="E39" s="20" t="s">
        <v>169</v>
      </c>
      <c r="F39" s="20" t="s">
        <v>246</v>
      </c>
      <c r="G39" s="20" t="s">
        <v>310</v>
      </c>
      <c r="H39" s="20" t="s">
        <v>378</v>
      </c>
      <c r="I39" s="53" t="s">
        <v>661</v>
      </c>
      <c r="J39" s="20" t="s">
        <v>438</v>
      </c>
      <c r="K39" s="20" t="s">
        <v>525</v>
      </c>
      <c r="L39" s="20">
        <v>2</v>
      </c>
      <c r="M39" s="20">
        <f t="shared" ref="M39" si="29">L39*5</f>
        <v>10</v>
      </c>
      <c r="N39" s="14" t="s">
        <v>575</v>
      </c>
      <c r="O39" s="45" t="s">
        <v>656</v>
      </c>
      <c r="P39" s="44" t="s">
        <v>607</v>
      </c>
      <c r="Q39" s="21">
        <f t="shared" ref="Q39" si="30">P39*N39</f>
        <v>0.27</v>
      </c>
      <c r="R39" s="20"/>
    </row>
    <row r="40" spans="1:18" ht="24">
      <c r="A40" s="1"/>
      <c r="B40" s="16">
        <f>ROW(B40) - ROW($B$7)</f>
        <v>33</v>
      </c>
      <c r="C40" s="22" t="s">
        <v>8</v>
      </c>
      <c r="D40" s="14" t="s">
        <v>59</v>
      </c>
      <c r="E40" s="14" t="s">
        <v>170</v>
      </c>
      <c r="F40" s="14" t="s">
        <v>249</v>
      </c>
      <c r="G40" s="14" t="s">
        <v>311</v>
      </c>
      <c r="H40" s="14" t="s">
        <v>383</v>
      </c>
      <c r="I40" s="53" t="s">
        <v>661</v>
      </c>
      <c r="J40" s="14" t="s">
        <v>439</v>
      </c>
      <c r="K40" s="14" t="s">
        <v>502</v>
      </c>
      <c r="L40" s="14">
        <v>7</v>
      </c>
      <c r="M40" s="14">
        <f>L40*5</f>
        <v>35</v>
      </c>
      <c r="N40" s="14" t="s">
        <v>579</v>
      </c>
      <c r="O40" s="45" t="s">
        <v>656</v>
      </c>
      <c r="P40" s="44" t="s">
        <v>608</v>
      </c>
      <c r="Q40" s="15">
        <f>P40*N40</f>
        <v>0.45500000000000002</v>
      </c>
      <c r="R40" s="14"/>
    </row>
    <row r="41" spans="1:18" ht="24">
      <c r="A41" s="1"/>
      <c r="B41" s="17">
        <f t="shared" si="0"/>
        <v>34</v>
      </c>
      <c r="C41" s="22" t="s">
        <v>8</v>
      </c>
      <c r="D41" s="20" t="s">
        <v>60</v>
      </c>
      <c r="E41" s="20" t="s">
        <v>171</v>
      </c>
      <c r="F41" s="20" t="s">
        <v>250</v>
      </c>
      <c r="G41" s="20" t="s">
        <v>312</v>
      </c>
      <c r="H41" s="20" t="s">
        <v>383</v>
      </c>
      <c r="I41" s="53" t="s">
        <v>661</v>
      </c>
      <c r="J41" s="20" t="s">
        <v>440</v>
      </c>
      <c r="K41" s="14" t="s">
        <v>502</v>
      </c>
      <c r="L41" s="20">
        <v>2</v>
      </c>
      <c r="M41" s="20">
        <f t="shared" ref="M41" si="31">L41*5</f>
        <v>10</v>
      </c>
      <c r="N41" s="14" t="s">
        <v>576</v>
      </c>
      <c r="O41" s="45" t="s">
        <v>656</v>
      </c>
      <c r="P41" s="44" t="s">
        <v>609</v>
      </c>
      <c r="Q41" s="21">
        <f t="shared" ref="Q41" si="32">P41*N41</f>
        <v>0.44600000000000001</v>
      </c>
      <c r="R41" s="20"/>
    </row>
    <row r="42" spans="1:18" ht="24">
      <c r="A42" s="1"/>
      <c r="B42" s="16">
        <f>ROW(B42) - ROW($B$7)</f>
        <v>35</v>
      </c>
      <c r="C42" s="22" t="s">
        <v>8</v>
      </c>
      <c r="D42" s="14" t="s">
        <v>61</v>
      </c>
      <c r="E42" s="14" t="s">
        <v>172</v>
      </c>
      <c r="F42" s="14" t="s">
        <v>251</v>
      </c>
      <c r="G42" s="14" t="s">
        <v>313</v>
      </c>
      <c r="H42" s="14" t="s">
        <v>384</v>
      </c>
      <c r="I42" s="53" t="s">
        <v>661</v>
      </c>
      <c r="J42" s="14" t="s">
        <v>441</v>
      </c>
      <c r="K42" s="14" t="s">
        <v>502</v>
      </c>
      <c r="L42" s="14">
        <v>2</v>
      </c>
      <c r="M42" s="14">
        <f>L42*5</f>
        <v>10</v>
      </c>
      <c r="N42" s="14">
        <v>20</v>
      </c>
      <c r="O42" s="45" t="s">
        <v>656</v>
      </c>
      <c r="P42" s="44" t="s">
        <v>610</v>
      </c>
      <c r="Q42" s="15">
        <f>P42*N42</f>
        <v>1.0620000000000001</v>
      </c>
      <c r="R42" s="14"/>
    </row>
    <row r="43" spans="1:18" ht="24">
      <c r="A43" s="1"/>
      <c r="B43" s="17">
        <f t="shared" si="0"/>
        <v>36</v>
      </c>
      <c r="C43" s="22" t="s">
        <v>8</v>
      </c>
      <c r="D43" s="20" t="s">
        <v>62</v>
      </c>
      <c r="E43" s="20" t="s">
        <v>173</v>
      </c>
      <c r="F43" s="20" t="s">
        <v>250</v>
      </c>
      <c r="G43" s="20" t="s">
        <v>314</v>
      </c>
      <c r="H43" s="20" t="s">
        <v>384</v>
      </c>
      <c r="I43" s="53" t="s">
        <v>661</v>
      </c>
      <c r="J43" s="20" t="s">
        <v>442</v>
      </c>
      <c r="K43" s="14" t="s">
        <v>502</v>
      </c>
      <c r="L43" s="20">
        <v>2</v>
      </c>
      <c r="M43" s="20">
        <f t="shared" ref="M43" si="33">L43*5</f>
        <v>10</v>
      </c>
      <c r="N43" s="14" t="s">
        <v>576</v>
      </c>
      <c r="O43" s="45" t="s">
        <v>656</v>
      </c>
      <c r="P43" s="44" t="s">
        <v>611</v>
      </c>
      <c r="Q43" s="21">
        <f t="shared" ref="Q43" si="34">P43*N43</f>
        <v>0.79799999999999993</v>
      </c>
      <c r="R43" s="20"/>
    </row>
    <row r="44" spans="1:18" ht="24">
      <c r="A44" s="1"/>
      <c r="B44" s="16">
        <f>ROW(B44) - ROW($B$7)</f>
        <v>37</v>
      </c>
      <c r="C44" s="22" t="s">
        <v>573</v>
      </c>
      <c r="D44" s="14" t="s">
        <v>63</v>
      </c>
      <c r="E44" s="14" t="s">
        <v>174</v>
      </c>
      <c r="F44" s="14" t="s">
        <v>252</v>
      </c>
      <c r="G44" s="14" t="s">
        <v>315</v>
      </c>
      <c r="H44" s="14" t="s">
        <v>385</v>
      </c>
      <c r="I44" s="53" t="s">
        <v>661</v>
      </c>
      <c r="J44" s="14" t="s">
        <v>443</v>
      </c>
      <c r="K44" s="14" t="s">
        <v>502</v>
      </c>
      <c r="L44" s="14">
        <v>1</v>
      </c>
      <c r="M44" s="14">
        <f>L44*5</f>
        <v>5</v>
      </c>
      <c r="N44" s="14" t="s">
        <v>574</v>
      </c>
      <c r="O44" s="45" t="s">
        <v>656</v>
      </c>
      <c r="P44" s="44" t="s">
        <v>612</v>
      </c>
      <c r="Q44" s="15">
        <f>P44*N44</f>
        <v>0.70400000000000007</v>
      </c>
      <c r="R44" s="14"/>
    </row>
    <row r="45" spans="1:18">
      <c r="A45" s="1"/>
      <c r="B45" s="17">
        <f t="shared" si="0"/>
        <v>38</v>
      </c>
      <c r="C45" s="23" t="s">
        <v>9</v>
      </c>
      <c r="D45" s="20" t="s">
        <v>64</v>
      </c>
      <c r="E45" s="20" t="s">
        <v>175</v>
      </c>
      <c r="F45" s="20" t="s">
        <v>253</v>
      </c>
      <c r="G45" s="20" t="s">
        <v>316</v>
      </c>
      <c r="H45" s="20" t="s">
        <v>379</v>
      </c>
      <c r="I45" s="53" t="s">
        <v>661</v>
      </c>
      <c r="J45" s="20" t="s">
        <v>444</v>
      </c>
      <c r="K45" s="14" t="s">
        <v>502</v>
      </c>
      <c r="L45" s="20">
        <v>5</v>
      </c>
      <c r="M45" s="20">
        <f t="shared" ref="M45" si="35">L45*5</f>
        <v>25</v>
      </c>
      <c r="N45" s="14" t="s">
        <v>582</v>
      </c>
      <c r="O45" s="45" t="s">
        <v>656</v>
      </c>
      <c r="P45" s="44" t="s">
        <v>613</v>
      </c>
      <c r="Q45" s="21">
        <f t="shared" ref="Q45" si="36">P45*N45</f>
        <v>1.3680000000000001</v>
      </c>
      <c r="R45" s="20"/>
    </row>
    <row r="46" spans="1:18" ht="48">
      <c r="A46" s="1"/>
      <c r="B46" s="16">
        <f>ROW(B46) - ROW($B$7)</f>
        <v>39</v>
      </c>
      <c r="C46" s="22" t="s">
        <v>10</v>
      </c>
      <c r="D46" s="14" t="s">
        <v>65</v>
      </c>
      <c r="E46" s="14" t="s">
        <v>176</v>
      </c>
      <c r="F46" s="14" t="s">
        <v>254</v>
      </c>
      <c r="G46" s="14" t="s">
        <v>317</v>
      </c>
      <c r="H46" s="14" t="s">
        <v>386</v>
      </c>
      <c r="I46" s="53" t="s">
        <v>661</v>
      </c>
      <c r="J46" s="14" t="s">
        <v>445</v>
      </c>
      <c r="K46" s="14" t="s">
        <v>502</v>
      </c>
      <c r="L46" s="14">
        <v>1</v>
      </c>
      <c r="M46" s="14">
        <f>L46*5</f>
        <v>5</v>
      </c>
      <c r="N46" s="14" t="s">
        <v>574</v>
      </c>
      <c r="O46" s="45" t="s">
        <v>656</v>
      </c>
      <c r="P46" s="44" t="s">
        <v>614</v>
      </c>
      <c r="Q46" s="15">
        <f>P46*N46</f>
        <v>0.42599999999999999</v>
      </c>
      <c r="R46" s="14"/>
    </row>
    <row r="47" spans="1:18">
      <c r="A47" s="1"/>
      <c r="B47" s="17">
        <f t="shared" si="0"/>
        <v>40</v>
      </c>
      <c r="C47" s="23" t="s">
        <v>11</v>
      </c>
      <c r="D47" s="20" t="s">
        <v>66</v>
      </c>
      <c r="E47" s="20" t="s">
        <v>177</v>
      </c>
      <c r="F47" s="20" t="s">
        <v>659</v>
      </c>
      <c r="G47" s="20" t="s">
        <v>318</v>
      </c>
      <c r="H47" s="20" t="s">
        <v>387</v>
      </c>
      <c r="I47" s="53" t="s">
        <v>661</v>
      </c>
      <c r="J47" s="20" t="s">
        <v>446</v>
      </c>
      <c r="K47" s="14" t="s">
        <v>502</v>
      </c>
      <c r="L47" s="20">
        <v>1</v>
      </c>
      <c r="M47" s="20">
        <f t="shared" ref="M47" si="37">L47*5</f>
        <v>5</v>
      </c>
      <c r="N47" s="14">
        <v>10</v>
      </c>
      <c r="O47" s="45" t="s">
        <v>656</v>
      </c>
      <c r="P47" s="44" t="s">
        <v>615</v>
      </c>
      <c r="Q47" s="21">
        <f t="shared" ref="Q47" si="38">P47*N47</f>
        <v>2.2429999999999999</v>
      </c>
      <c r="R47" s="20"/>
    </row>
    <row r="48" spans="1:18">
      <c r="A48" s="1"/>
      <c r="B48" s="16">
        <f>ROW(B48) - ROW($B$7)</f>
        <v>41</v>
      </c>
      <c r="C48" s="22" t="s">
        <v>12</v>
      </c>
      <c r="D48" s="14" t="s">
        <v>67</v>
      </c>
      <c r="E48" s="14" t="s">
        <v>178</v>
      </c>
      <c r="F48" s="20" t="s">
        <v>659</v>
      </c>
      <c r="G48" s="42" t="s">
        <v>255</v>
      </c>
      <c r="H48" s="14" t="s">
        <v>388</v>
      </c>
      <c r="I48" s="53" t="s">
        <v>661</v>
      </c>
      <c r="J48" s="14" t="s">
        <v>447</v>
      </c>
      <c r="K48" s="14" t="s">
        <v>502</v>
      </c>
      <c r="L48" s="14">
        <v>1</v>
      </c>
      <c r="M48" s="14">
        <f>L48*5</f>
        <v>5</v>
      </c>
      <c r="N48" s="14">
        <v>6</v>
      </c>
      <c r="O48" s="45" t="s">
        <v>656</v>
      </c>
      <c r="P48" s="44" t="s">
        <v>616</v>
      </c>
      <c r="Q48" s="15">
        <f>P48*N48</f>
        <v>6.4542000000000002</v>
      </c>
      <c r="R48" s="14"/>
    </row>
    <row r="49" spans="1:18">
      <c r="A49" s="1"/>
      <c r="B49" s="17">
        <f t="shared" si="0"/>
        <v>42</v>
      </c>
      <c r="C49" s="23" t="s">
        <v>13</v>
      </c>
      <c r="D49" s="20" t="s">
        <v>68</v>
      </c>
      <c r="E49" s="20" t="s">
        <v>179</v>
      </c>
      <c r="F49" s="20" t="s">
        <v>659</v>
      </c>
      <c r="G49" s="20" t="s">
        <v>256</v>
      </c>
      <c r="H49" s="20" t="s">
        <v>389</v>
      </c>
      <c r="I49" s="53" t="s">
        <v>661</v>
      </c>
      <c r="J49" s="20" t="s">
        <v>448</v>
      </c>
      <c r="K49" s="14" t="s">
        <v>502</v>
      </c>
      <c r="L49" s="20">
        <v>1</v>
      </c>
      <c r="M49" s="20">
        <f t="shared" ref="M49" si="39">L49*5</f>
        <v>5</v>
      </c>
      <c r="N49" s="14" t="s">
        <v>581</v>
      </c>
      <c r="O49" s="45" t="s">
        <v>656</v>
      </c>
      <c r="P49" s="44" t="s">
        <v>617</v>
      </c>
      <c r="Q49" s="21">
        <f t="shared" ref="Q49" si="40">P49*N49</f>
        <v>5.7815000000000003</v>
      </c>
      <c r="R49" s="20"/>
    </row>
    <row r="50" spans="1:18" ht="24">
      <c r="A50" s="1"/>
      <c r="B50" s="16">
        <f>ROW(B50) - ROW($B$7)</f>
        <v>43</v>
      </c>
      <c r="C50" s="22" t="s">
        <v>14</v>
      </c>
      <c r="D50" s="14" t="s">
        <v>69</v>
      </c>
      <c r="E50" s="14" t="s">
        <v>180</v>
      </c>
      <c r="F50" s="20" t="s">
        <v>659</v>
      </c>
      <c r="G50" s="14" t="s">
        <v>257</v>
      </c>
      <c r="H50" s="14" t="s">
        <v>390</v>
      </c>
      <c r="I50" s="53" t="s">
        <v>661</v>
      </c>
      <c r="J50" s="14" t="s">
        <v>449</v>
      </c>
      <c r="K50" s="14" t="s">
        <v>526</v>
      </c>
      <c r="L50" s="14">
        <v>2</v>
      </c>
      <c r="M50" s="14">
        <f>L50*5</f>
        <v>10</v>
      </c>
      <c r="N50" s="14">
        <v>20</v>
      </c>
      <c r="O50" s="45" t="s">
        <v>656</v>
      </c>
      <c r="P50" s="44" t="s">
        <v>618</v>
      </c>
      <c r="Q50" s="15">
        <f>P50*N50</f>
        <v>1.504</v>
      </c>
      <c r="R50" s="14"/>
    </row>
    <row r="51" spans="1:18" ht="24">
      <c r="A51" s="1"/>
      <c r="B51" s="17">
        <f t="shared" si="0"/>
        <v>44</v>
      </c>
      <c r="C51" s="23" t="s">
        <v>15</v>
      </c>
      <c r="D51" s="20" t="s">
        <v>70</v>
      </c>
      <c r="E51" s="20" t="s">
        <v>181</v>
      </c>
      <c r="F51" s="20" t="s">
        <v>659</v>
      </c>
      <c r="G51" s="20" t="s">
        <v>319</v>
      </c>
      <c r="H51" s="20" t="s">
        <v>390</v>
      </c>
      <c r="I51" s="53" t="s">
        <v>661</v>
      </c>
      <c r="J51" s="20" t="s">
        <v>450</v>
      </c>
      <c r="K51" s="20" t="s">
        <v>527</v>
      </c>
      <c r="L51" s="20">
        <v>1</v>
      </c>
      <c r="M51" s="20">
        <f t="shared" ref="M51" si="41">L51*5</f>
        <v>5</v>
      </c>
      <c r="N51" s="14" t="s">
        <v>574</v>
      </c>
      <c r="O51" s="45" t="s">
        <v>656</v>
      </c>
      <c r="P51" s="44" t="s">
        <v>619</v>
      </c>
      <c r="Q51" s="21">
        <f t="shared" ref="Q51" si="42">P51*N51</f>
        <v>0.57099999999999995</v>
      </c>
      <c r="R51" s="20"/>
    </row>
    <row r="52" spans="1:18" ht="24">
      <c r="A52" s="1"/>
      <c r="B52" s="16">
        <f>ROW(B52) - ROW($B$7)</f>
        <v>45</v>
      </c>
      <c r="C52" s="22" t="s">
        <v>15</v>
      </c>
      <c r="D52" s="14" t="s">
        <v>71</v>
      </c>
      <c r="E52" s="14" t="s">
        <v>182</v>
      </c>
      <c r="F52" s="20" t="s">
        <v>659</v>
      </c>
      <c r="G52" s="14" t="s">
        <v>258</v>
      </c>
      <c r="H52" s="14" t="s">
        <v>391</v>
      </c>
      <c r="I52" s="53" t="s">
        <v>661</v>
      </c>
      <c r="J52" s="14" t="s">
        <v>451</v>
      </c>
      <c r="K52" s="14" t="s">
        <v>528</v>
      </c>
      <c r="L52" s="14">
        <v>5</v>
      </c>
      <c r="M52" s="14">
        <f>L52*5</f>
        <v>25</v>
      </c>
      <c r="N52" s="14">
        <v>30</v>
      </c>
      <c r="O52" s="45" t="s">
        <v>656</v>
      </c>
      <c r="P52" s="44" t="s">
        <v>620</v>
      </c>
      <c r="Q52" s="15">
        <f>P52*N52</f>
        <v>2.4750000000000001</v>
      </c>
      <c r="R52" s="14"/>
    </row>
    <row r="53" spans="1:18" ht="24">
      <c r="A53" s="1"/>
      <c r="B53" s="17">
        <f t="shared" si="0"/>
        <v>46</v>
      </c>
      <c r="C53" s="23" t="s">
        <v>16</v>
      </c>
      <c r="D53" s="20" t="s">
        <v>72</v>
      </c>
      <c r="E53" s="20" t="s">
        <v>183</v>
      </c>
      <c r="F53" s="20" t="s">
        <v>659</v>
      </c>
      <c r="G53" s="20" t="s">
        <v>320</v>
      </c>
      <c r="H53" s="20" t="s">
        <v>390</v>
      </c>
      <c r="I53" s="53" t="s">
        <v>661</v>
      </c>
      <c r="J53" s="20" t="s">
        <v>452</v>
      </c>
      <c r="K53" s="20" t="s">
        <v>502</v>
      </c>
      <c r="L53" s="20">
        <v>2</v>
      </c>
      <c r="M53" s="20">
        <f t="shared" ref="M53" si="43">L53*5</f>
        <v>10</v>
      </c>
      <c r="N53" s="14" t="s">
        <v>576</v>
      </c>
      <c r="O53" s="45" t="s">
        <v>656</v>
      </c>
      <c r="P53" s="44" t="s">
        <v>621</v>
      </c>
      <c r="Q53" s="21">
        <f t="shared" ref="Q53" si="44">P53*N53</f>
        <v>0.376</v>
      </c>
      <c r="R53" s="20"/>
    </row>
    <row r="54" spans="1:18">
      <c r="A54" s="1"/>
      <c r="B54" s="16">
        <f>ROW(B54) - ROW($B$7)</f>
        <v>47</v>
      </c>
      <c r="C54" s="22" t="s">
        <v>15</v>
      </c>
      <c r="D54" s="14" t="s">
        <v>73</v>
      </c>
      <c r="E54" s="14" t="s">
        <v>184</v>
      </c>
      <c r="F54" s="20" t="s">
        <v>659</v>
      </c>
      <c r="G54" s="14" t="s">
        <v>321</v>
      </c>
      <c r="H54" s="14" t="s">
        <v>390</v>
      </c>
      <c r="I54" s="53" t="s">
        <v>661</v>
      </c>
      <c r="J54" s="14" t="s">
        <v>453</v>
      </c>
      <c r="K54" s="14" t="s">
        <v>526</v>
      </c>
      <c r="L54" s="14">
        <v>1</v>
      </c>
      <c r="M54" s="14">
        <f>L54*5</f>
        <v>5</v>
      </c>
      <c r="N54" s="14">
        <v>10</v>
      </c>
      <c r="O54" s="45" t="s">
        <v>656</v>
      </c>
      <c r="P54" s="44" t="s">
        <v>622</v>
      </c>
      <c r="Q54" s="15">
        <f>P54*N54</f>
        <v>1.167</v>
      </c>
      <c r="R54" s="14"/>
    </row>
    <row r="55" spans="1:18" ht="36">
      <c r="A55" s="1"/>
      <c r="B55" s="17">
        <f t="shared" si="0"/>
        <v>48</v>
      </c>
      <c r="C55" s="23" t="s">
        <v>15</v>
      </c>
      <c r="D55" s="20" t="s">
        <v>74</v>
      </c>
      <c r="E55" s="20" t="s">
        <v>185</v>
      </c>
      <c r="F55" s="20" t="s">
        <v>659</v>
      </c>
      <c r="G55" s="20" t="s">
        <v>322</v>
      </c>
      <c r="H55" s="20" t="s">
        <v>391</v>
      </c>
      <c r="I55" s="53" t="s">
        <v>661</v>
      </c>
      <c r="J55" s="20" t="s">
        <v>454</v>
      </c>
      <c r="K55" s="20" t="s">
        <v>526</v>
      </c>
      <c r="L55" s="20">
        <v>1</v>
      </c>
      <c r="M55" s="20">
        <f t="shared" ref="M55" si="45">L55*5</f>
        <v>5</v>
      </c>
      <c r="N55" s="14">
        <v>10</v>
      </c>
      <c r="O55" s="45" t="s">
        <v>656</v>
      </c>
      <c r="P55" s="44" t="s">
        <v>623</v>
      </c>
      <c r="Q55" s="21">
        <f t="shared" ref="Q55" si="46">P55*N55</f>
        <v>1.7430000000000001</v>
      </c>
      <c r="R55" s="20"/>
    </row>
    <row r="56" spans="1:18">
      <c r="A56" s="1"/>
      <c r="B56" s="16">
        <f>ROW(B56) - ROW($B$7)</f>
        <v>49</v>
      </c>
      <c r="C56" s="22" t="s">
        <v>15</v>
      </c>
      <c r="D56" s="14" t="s">
        <v>75</v>
      </c>
      <c r="E56" s="14" t="s">
        <v>186</v>
      </c>
      <c r="F56" s="20" t="s">
        <v>659</v>
      </c>
      <c r="G56" s="14" t="s">
        <v>259</v>
      </c>
      <c r="H56" s="14" t="s">
        <v>392</v>
      </c>
      <c r="I56" s="53" t="s">
        <v>661</v>
      </c>
      <c r="J56" s="14" t="s">
        <v>455</v>
      </c>
      <c r="K56" s="14" t="s">
        <v>529</v>
      </c>
      <c r="L56" s="14">
        <v>1</v>
      </c>
      <c r="M56" s="14">
        <f>L56*5</f>
        <v>5</v>
      </c>
      <c r="N56" s="14">
        <v>10</v>
      </c>
      <c r="O56" s="45" t="s">
        <v>656</v>
      </c>
      <c r="P56" s="44" t="s">
        <v>624</v>
      </c>
      <c r="Q56" s="15">
        <f>P56*N56</f>
        <v>3.5210000000000004</v>
      </c>
      <c r="R56" s="14"/>
    </row>
    <row r="57" spans="1:18" ht="48">
      <c r="A57" s="1"/>
      <c r="B57" s="17">
        <f t="shared" si="0"/>
        <v>50</v>
      </c>
      <c r="C57" s="23" t="s">
        <v>17</v>
      </c>
      <c r="D57" s="20" t="s">
        <v>76</v>
      </c>
      <c r="E57" s="20" t="s">
        <v>187</v>
      </c>
      <c r="F57" s="20" t="s">
        <v>659</v>
      </c>
      <c r="G57" s="20" t="s">
        <v>260</v>
      </c>
      <c r="H57" s="20" t="s">
        <v>393</v>
      </c>
      <c r="I57" s="53" t="s">
        <v>661</v>
      </c>
      <c r="J57" s="20" t="s">
        <v>456</v>
      </c>
      <c r="K57" s="20" t="s">
        <v>502</v>
      </c>
      <c r="L57" s="20">
        <v>1</v>
      </c>
      <c r="M57" s="20">
        <f t="shared" ref="M57" si="47">L57*5</f>
        <v>5</v>
      </c>
      <c r="N57" s="14" t="s">
        <v>576</v>
      </c>
      <c r="O57" s="45" t="s">
        <v>656</v>
      </c>
      <c r="P57" s="44" t="s">
        <v>625</v>
      </c>
      <c r="Q57" s="21">
        <f t="shared" ref="Q57" si="48">P57*N57</f>
        <v>0.69599999999999995</v>
      </c>
      <c r="R57" s="20"/>
    </row>
    <row r="58" spans="1:18" ht="24">
      <c r="A58" s="1"/>
      <c r="B58" s="16">
        <f>ROW(B58) - ROW($B$7)</f>
        <v>51</v>
      </c>
      <c r="C58" s="22" t="s">
        <v>18</v>
      </c>
      <c r="D58" s="14" t="s">
        <v>77</v>
      </c>
      <c r="E58" s="14" t="s">
        <v>188</v>
      </c>
      <c r="F58" s="14" t="s">
        <v>261</v>
      </c>
      <c r="G58" s="14" t="s">
        <v>323</v>
      </c>
      <c r="H58" s="14" t="s">
        <v>394</v>
      </c>
      <c r="I58" s="53" t="s">
        <v>661</v>
      </c>
      <c r="J58" s="14" t="s">
        <v>457</v>
      </c>
      <c r="K58" s="14" t="s">
        <v>502</v>
      </c>
      <c r="L58" s="14">
        <v>2</v>
      </c>
      <c r="M58" s="14">
        <f>L58*5</f>
        <v>10</v>
      </c>
      <c r="N58" s="14" t="s">
        <v>579</v>
      </c>
      <c r="O58" s="45" t="s">
        <v>656</v>
      </c>
      <c r="P58" s="44" t="s">
        <v>626</v>
      </c>
      <c r="Q58" s="15">
        <f>P58*N58</f>
        <v>0.68500000000000005</v>
      </c>
      <c r="R58" s="14"/>
    </row>
    <row r="59" spans="1:18" ht="36">
      <c r="A59" s="1"/>
      <c r="B59" s="17">
        <f t="shared" si="0"/>
        <v>52</v>
      </c>
      <c r="C59" s="23" t="s">
        <v>19</v>
      </c>
      <c r="D59" s="20" t="s">
        <v>78</v>
      </c>
      <c r="E59" s="20" t="s">
        <v>189</v>
      </c>
      <c r="F59" s="20" t="s">
        <v>262</v>
      </c>
      <c r="G59" s="20" t="s">
        <v>324</v>
      </c>
      <c r="H59" s="20" t="s">
        <v>378</v>
      </c>
      <c r="I59" s="53" t="s">
        <v>661</v>
      </c>
      <c r="J59" s="20" t="s">
        <v>458</v>
      </c>
      <c r="K59" s="20" t="s">
        <v>530</v>
      </c>
      <c r="L59" s="20">
        <v>19</v>
      </c>
      <c r="M59" s="20">
        <f t="shared" ref="M59" si="49">L59*5</f>
        <v>95</v>
      </c>
      <c r="N59" s="14" t="s">
        <v>575</v>
      </c>
      <c r="O59" s="45" t="s">
        <v>656</v>
      </c>
      <c r="P59" s="44" t="s">
        <v>627</v>
      </c>
      <c r="Q59" s="21">
        <f t="shared" ref="Q59" si="50">P59*N59</f>
        <v>0.05</v>
      </c>
      <c r="R59" s="20"/>
    </row>
    <row r="60" spans="1:18" ht="24">
      <c r="A60" s="1"/>
      <c r="B60" s="16">
        <f>ROW(B60) - ROW($B$7)</f>
        <v>53</v>
      </c>
      <c r="C60" s="22" t="s">
        <v>19</v>
      </c>
      <c r="D60" s="14" t="s">
        <v>79</v>
      </c>
      <c r="E60" s="14" t="s">
        <v>190</v>
      </c>
      <c r="F60" s="14" t="s">
        <v>262</v>
      </c>
      <c r="G60" s="14" t="s">
        <v>325</v>
      </c>
      <c r="H60" s="14" t="s">
        <v>378</v>
      </c>
      <c r="I60" s="53" t="s">
        <v>661</v>
      </c>
      <c r="J60" s="14" t="s">
        <v>459</v>
      </c>
      <c r="K60" s="14" t="s">
        <v>531</v>
      </c>
      <c r="L60" s="14">
        <v>11</v>
      </c>
      <c r="M60" s="14">
        <f>L60*5</f>
        <v>55</v>
      </c>
      <c r="N60" s="14" t="s">
        <v>575</v>
      </c>
      <c r="O60" s="45" t="s">
        <v>656</v>
      </c>
      <c r="P60" s="44" t="s">
        <v>628</v>
      </c>
      <c r="Q60" s="15">
        <f>P60*N60</f>
        <v>6.9999999999999993E-2</v>
      </c>
      <c r="R60" s="14"/>
    </row>
    <row r="61" spans="1:18" ht="48">
      <c r="A61" s="1"/>
      <c r="B61" s="17">
        <f t="shared" si="0"/>
        <v>54</v>
      </c>
      <c r="C61" s="22" t="s">
        <v>19</v>
      </c>
      <c r="D61" s="20" t="s">
        <v>80</v>
      </c>
      <c r="E61" s="20" t="s">
        <v>191</v>
      </c>
      <c r="F61" s="20" t="s">
        <v>262</v>
      </c>
      <c r="G61" s="20" t="s">
        <v>326</v>
      </c>
      <c r="H61" s="20" t="s">
        <v>378</v>
      </c>
      <c r="I61" s="53" t="s">
        <v>661</v>
      </c>
      <c r="J61" s="20" t="s">
        <v>460</v>
      </c>
      <c r="K61" s="20" t="s">
        <v>532</v>
      </c>
      <c r="L61" s="20">
        <v>20</v>
      </c>
      <c r="M61" s="20">
        <f t="shared" ref="M61" si="51">L61*5</f>
        <v>100</v>
      </c>
      <c r="N61" s="14" t="s">
        <v>575</v>
      </c>
      <c r="O61" s="45" t="s">
        <v>656</v>
      </c>
      <c r="P61" s="44" t="s">
        <v>600</v>
      </c>
      <c r="Q61" s="21">
        <f t="shared" ref="Q61" si="52">P61*N61</f>
        <v>0.06</v>
      </c>
      <c r="R61" s="20"/>
    </row>
    <row r="62" spans="1:18">
      <c r="A62" s="1"/>
      <c r="B62" s="16">
        <f>ROW(B62) - ROW($B$7)</f>
        <v>55</v>
      </c>
      <c r="C62" s="22" t="s">
        <v>19</v>
      </c>
      <c r="D62" s="14" t="s">
        <v>81</v>
      </c>
      <c r="E62" s="14" t="s">
        <v>192</v>
      </c>
      <c r="F62" s="14" t="s">
        <v>262</v>
      </c>
      <c r="G62" s="14" t="s">
        <v>327</v>
      </c>
      <c r="H62" s="14" t="s">
        <v>378</v>
      </c>
      <c r="I62" s="53" t="s">
        <v>661</v>
      </c>
      <c r="J62" s="14" t="s">
        <v>461</v>
      </c>
      <c r="K62" s="14" t="s">
        <v>533</v>
      </c>
      <c r="L62" s="14">
        <v>4</v>
      </c>
      <c r="M62" s="14">
        <f>L62*5</f>
        <v>20</v>
      </c>
      <c r="N62" s="14" t="s">
        <v>575</v>
      </c>
      <c r="O62" s="45" t="s">
        <v>656</v>
      </c>
      <c r="P62" s="44" t="s">
        <v>628</v>
      </c>
      <c r="Q62" s="15">
        <f>P62*N62</f>
        <v>6.9999999999999993E-2</v>
      </c>
      <c r="R62" s="14"/>
    </row>
    <row r="63" spans="1:18">
      <c r="A63" s="1"/>
      <c r="B63" s="17">
        <f t="shared" si="0"/>
        <v>56</v>
      </c>
      <c r="C63" s="22" t="s">
        <v>19</v>
      </c>
      <c r="D63" s="20" t="s">
        <v>82</v>
      </c>
      <c r="E63" s="20" t="s">
        <v>193</v>
      </c>
      <c r="F63" s="20" t="s">
        <v>262</v>
      </c>
      <c r="G63" s="20" t="s">
        <v>328</v>
      </c>
      <c r="H63" s="20" t="s">
        <v>378</v>
      </c>
      <c r="I63" s="53" t="s">
        <v>661</v>
      </c>
      <c r="J63" s="20" t="s">
        <v>462</v>
      </c>
      <c r="K63" s="20" t="s">
        <v>534</v>
      </c>
      <c r="L63" s="20">
        <v>6</v>
      </c>
      <c r="M63" s="20">
        <f t="shared" ref="M63" si="53">L63*5</f>
        <v>30</v>
      </c>
      <c r="N63" s="14" t="s">
        <v>575</v>
      </c>
      <c r="O63" s="45" t="s">
        <v>656</v>
      </c>
      <c r="P63" s="44" t="s">
        <v>600</v>
      </c>
      <c r="Q63" s="21">
        <f t="shared" ref="Q63" si="54">P63*N63</f>
        <v>0.06</v>
      </c>
      <c r="R63" s="20"/>
    </row>
    <row r="64" spans="1:18">
      <c r="A64" s="1"/>
      <c r="B64" s="16">
        <f>ROW(B64) - ROW($B$7)</f>
        <v>57</v>
      </c>
      <c r="C64" s="22" t="s">
        <v>19</v>
      </c>
      <c r="D64" s="14" t="s">
        <v>83</v>
      </c>
      <c r="E64" s="14" t="s">
        <v>194</v>
      </c>
      <c r="F64" s="14" t="s">
        <v>262</v>
      </c>
      <c r="G64" s="14" t="s">
        <v>329</v>
      </c>
      <c r="H64" s="14" t="s">
        <v>378</v>
      </c>
      <c r="I64" s="53" t="s">
        <v>661</v>
      </c>
      <c r="J64" s="14" t="s">
        <v>463</v>
      </c>
      <c r="K64" s="14" t="s">
        <v>535</v>
      </c>
      <c r="L64" s="14">
        <v>2</v>
      </c>
      <c r="M64" s="14">
        <f>L64*5</f>
        <v>10</v>
      </c>
      <c r="N64" s="14" t="s">
        <v>575</v>
      </c>
      <c r="O64" s="45" t="s">
        <v>656</v>
      </c>
      <c r="P64" s="44" t="s">
        <v>628</v>
      </c>
      <c r="Q64" s="15">
        <f>P64*N64</f>
        <v>6.9999999999999993E-2</v>
      </c>
      <c r="R64" s="14"/>
    </row>
    <row r="65" spans="1:18">
      <c r="A65" s="1"/>
      <c r="B65" s="17">
        <f t="shared" si="0"/>
        <v>58</v>
      </c>
      <c r="C65" s="23" t="s">
        <v>19</v>
      </c>
      <c r="D65" s="20" t="s">
        <v>84</v>
      </c>
      <c r="E65" s="20" t="s">
        <v>195</v>
      </c>
      <c r="F65" s="20" t="s">
        <v>262</v>
      </c>
      <c r="G65" s="20" t="s">
        <v>330</v>
      </c>
      <c r="H65" s="20" t="s">
        <v>395</v>
      </c>
      <c r="I65" s="53" t="s">
        <v>661</v>
      </c>
      <c r="J65" s="20" t="s">
        <v>464</v>
      </c>
      <c r="K65" s="20" t="s">
        <v>536</v>
      </c>
      <c r="L65" s="20">
        <v>1</v>
      </c>
      <c r="M65" s="20">
        <f t="shared" ref="M65" si="55">L65*5</f>
        <v>5</v>
      </c>
      <c r="N65" s="14" t="s">
        <v>575</v>
      </c>
      <c r="O65" s="45" t="s">
        <v>656</v>
      </c>
      <c r="P65" s="44" t="s">
        <v>628</v>
      </c>
      <c r="Q65" s="21">
        <f t="shared" ref="Q65" si="56">P65*N65</f>
        <v>6.9999999999999993E-2</v>
      </c>
      <c r="R65" s="20"/>
    </row>
    <row r="66" spans="1:18">
      <c r="A66" s="1"/>
      <c r="B66" s="16">
        <f>ROW(B66) - ROW($B$7)</f>
        <v>59</v>
      </c>
      <c r="C66" s="22" t="s">
        <v>19</v>
      </c>
      <c r="D66" s="14" t="s">
        <v>85</v>
      </c>
      <c r="E66" s="14" t="s">
        <v>196</v>
      </c>
      <c r="F66" s="14" t="s">
        <v>262</v>
      </c>
      <c r="G66" s="14" t="s">
        <v>331</v>
      </c>
      <c r="H66" s="14" t="s">
        <v>378</v>
      </c>
      <c r="I66" s="53" t="s">
        <v>661</v>
      </c>
      <c r="J66" s="14" t="s">
        <v>465</v>
      </c>
      <c r="K66" s="14" t="s">
        <v>537</v>
      </c>
      <c r="L66" s="14">
        <v>1</v>
      </c>
      <c r="M66" s="14">
        <f>L66*5</f>
        <v>5</v>
      </c>
      <c r="N66" s="14" t="s">
        <v>575</v>
      </c>
      <c r="O66" s="45" t="s">
        <v>656</v>
      </c>
      <c r="P66" s="44" t="s">
        <v>628</v>
      </c>
      <c r="Q66" s="15">
        <f>P66*N66</f>
        <v>6.9999999999999993E-2</v>
      </c>
      <c r="R66" s="14"/>
    </row>
    <row r="67" spans="1:18">
      <c r="A67" s="1"/>
      <c r="B67" s="17">
        <f t="shared" si="0"/>
        <v>60</v>
      </c>
      <c r="C67" s="23" t="s">
        <v>19</v>
      </c>
      <c r="D67" s="20" t="s">
        <v>86</v>
      </c>
      <c r="E67" s="20" t="s">
        <v>197</v>
      </c>
      <c r="F67" s="20" t="s">
        <v>262</v>
      </c>
      <c r="G67" s="20" t="s">
        <v>332</v>
      </c>
      <c r="H67" s="20" t="s">
        <v>378</v>
      </c>
      <c r="I67" s="53" t="s">
        <v>661</v>
      </c>
      <c r="J67" s="20" t="s">
        <v>466</v>
      </c>
      <c r="K67" s="20" t="s">
        <v>538</v>
      </c>
      <c r="L67" s="20">
        <v>1</v>
      </c>
      <c r="M67" s="20">
        <f t="shared" ref="M67" si="57">L67*5</f>
        <v>5</v>
      </c>
      <c r="N67" s="14" t="s">
        <v>575</v>
      </c>
      <c r="O67" s="45" t="s">
        <v>656</v>
      </c>
      <c r="P67" s="44" t="s">
        <v>600</v>
      </c>
      <c r="Q67" s="21">
        <f t="shared" ref="Q67" si="58">P67*N67</f>
        <v>0.06</v>
      </c>
      <c r="R67" s="20"/>
    </row>
    <row r="68" spans="1:18" ht="24">
      <c r="A68" s="1"/>
      <c r="B68" s="16">
        <f>ROW(B68) - ROW($B$7)</f>
        <v>61</v>
      </c>
      <c r="C68" s="22" t="s">
        <v>19</v>
      </c>
      <c r="D68" s="14" t="s">
        <v>87</v>
      </c>
      <c r="E68" s="14" t="s">
        <v>198</v>
      </c>
      <c r="F68" s="14" t="s">
        <v>262</v>
      </c>
      <c r="G68" s="14" t="s">
        <v>333</v>
      </c>
      <c r="H68" s="14" t="s">
        <v>378</v>
      </c>
      <c r="I68" s="53" t="s">
        <v>661</v>
      </c>
      <c r="J68" s="14" t="s">
        <v>467</v>
      </c>
      <c r="K68" s="14" t="s">
        <v>539</v>
      </c>
      <c r="L68" s="14">
        <v>10</v>
      </c>
      <c r="M68" s="14">
        <f>L68*5</f>
        <v>50</v>
      </c>
      <c r="N68" s="14" t="s">
        <v>575</v>
      </c>
      <c r="O68" s="45" t="s">
        <v>656</v>
      </c>
      <c r="P68" s="44" t="s">
        <v>628</v>
      </c>
      <c r="Q68" s="15">
        <f>P68*N68</f>
        <v>6.9999999999999993E-2</v>
      </c>
      <c r="R68" s="14"/>
    </row>
    <row r="69" spans="1:18">
      <c r="A69" s="1"/>
      <c r="B69" s="17">
        <f t="shared" si="0"/>
        <v>62</v>
      </c>
      <c r="C69" s="23" t="s">
        <v>19</v>
      </c>
      <c r="D69" s="20" t="s">
        <v>88</v>
      </c>
      <c r="E69" s="20" t="s">
        <v>199</v>
      </c>
      <c r="F69" s="20" t="s">
        <v>262</v>
      </c>
      <c r="G69" s="20" t="s">
        <v>334</v>
      </c>
      <c r="H69" s="20" t="s">
        <v>378</v>
      </c>
      <c r="I69" s="53" t="s">
        <v>661</v>
      </c>
      <c r="J69" s="20" t="s">
        <v>468</v>
      </c>
      <c r="K69" s="20" t="s">
        <v>540</v>
      </c>
      <c r="L69" s="20">
        <v>1</v>
      </c>
      <c r="M69" s="20">
        <f t="shared" ref="M69" si="59">L69*5</f>
        <v>5</v>
      </c>
      <c r="N69" s="14" t="s">
        <v>576</v>
      </c>
      <c r="O69" s="45" t="s">
        <v>656</v>
      </c>
      <c r="P69" s="44" t="s">
        <v>629</v>
      </c>
      <c r="Q69" s="21">
        <f t="shared" ref="Q69" si="60">P69*N69</f>
        <v>0.45600000000000002</v>
      </c>
      <c r="R69" s="20"/>
    </row>
    <row r="70" spans="1:18">
      <c r="A70" s="1"/>
      <c r="B70" s="16">
        <f>ROW(B70) - ROW($B$7)</f>
        <v>63</v>
      </c>
      <c r="C70" s="22" t="s">
        <v>19</v>
      </c>
      <c r="D70" s="14" t="s">
        <v>89</v>
      </c>
      <c r="E70" s="14" t="s">
        <v>200</v>
      </c>
      <c r="F70" s="14" t="s">
        <v>262</v>
      </c>
      <c r="G70" s="14" t="s">
        <v>335</v>
      </c>
      <c r="H70" s="14" t="s">
        <v>378</v>
      </c>
      <c r="I70" s="53" t="s">
        <v>661</v>
      </c>
      <c r="J70" s="14" t="s">
        <v>469</v>
      </c>
      <c r="K70" s="14" t="s">
        <v>541</v>
      </c>
      <c r="L70" s="14">
        <v>1</v>
      </c>
      <c r="M70" s="14">
        <f>L70*5</f>
        <v>5</v>
      </c>
      <c r="N70" s="14" t="s">
        <v>575</v>
      </c>
      <c r="O70" s="45" t="s">
        <v>656</v>
      </c>
      <c r="P70" s="44" t="s">
        <v>600</v>
      </c>
      <c r="Q70" s="15">
        <f>P70*N70</f>
        <v>0.06</v>
      </c>
      <c r="R70" s="14"/>
    </row>
    <row r="71" spans="1:18">
      <c r="A71" s="1"/>
      <c r="B71" s="17">
        <f t="shared" si="0"/>
        <v>64</v>
      </c>
      <c r="C71" s="23" t="s">
        <v>19</v>
      </c>
      <c r="D71" s="20" t="s">
        <v>90</v>
      </c>
      <c r="E71" s="20" t="s">
        <v>201</v>
      </c>
      <c r="F71" s="20" t="s">
        <v>262</v>
      </c>
      <c r="G71" s="20" t="s">
        <v>336</v>
      </c>
      <c r="H71" s="20" t="s">
        <v>378</v>
      </c>
      <c r="I71" s="53" t="s">
        <v>661</v>
      </c>
      <c r="J71" s="20" t="s">
        <v>470</v>
      </c>
      <c r="K71" s="20" t="s">
        <v>542</v>
      </c>
      <c r="L71" s="20">
        <v>1</v>
      </c>
      <c r="M71" s="20">
        <f t="shared" ref="M71" si="61">L71*5</f>
        <v>5</v>
      </c>
      <c r="N71" s="14" t="s">
        <v>575</v>
      </c>
      <c r="O71" s="45" t="s">
        <v>656</v>
      </c>
      <c r="P71" s="44" t="s">
        <v>628</v>
      </c>
      <c r="Q71" s="21">
        <f t="shared" ref="Q71" si="62">P71*N71</f>
        <v>6.9999999999999993E-2</v>
      </c>
      <c r="R71" s="20"/>
    </row>
    <row r="72" spans="1:18">
      <c r="A72" s="1"/>
      <c r="B72" s="16">
        <f>ROW(B72) - ROW($B$7)</f>
        <v>65</v>
      </c>
      <c r="C72" s="22" t="s">
        <v>19</v>
      </c>
      <c r="D72" s="14" t="s">
        <v>91</v>
      </c>
      <c r="E72" s="14" t="s">
        <v>202</v>
      </c>
      <c r="F72" s="14" t="s">
        <v>262</v>
      </c>
      <c r="G72" s="14" t="s">
        <v>337</v>
      </c>
      <c r="H72" s="14" t="s">
        <v>378</v>
      </c>
      <c r="I72" s="53" t="s">
        <v>661</v>
      </c>
      <c r="J72" s="14" t="s">
        <v>471</v>
      </c>
      <c r="K72" s="14" t="s">
        <v>543</v>
      </c>
      <c r="L72" s="14">
        <v>1</v>
      </c>
      <c r="M72" s="14">
        <f>L72*5</f>
        <v>5</v>
      </c>
      <c r="N72" s="14" t="s">
        <v>579</v>
      </c>
      <c r="O72" s="45" t="s">
        <v>656</v>
      </c>
      <c r="P72" s="44" t="s">
        <v>630</v>
      </c>
      <c r="Q72" s="15">
        <f>P72*N72</f>
        <v>0.96</v>
      </c>
      <c r="R72" s="14"/>
    </row>
    <row r="73" spans="1:18">
      <c r="A73" s="1"/>
      <c r="B73" s="17">
        <f t="shared" si="0"/>
        <v>66</v>
      </c>
      <c r="C73" s="23" t="s">
        <v>19</v>
      </c>
      <c r="D73" s="20" t="s">
        <v>92</v>
      </c>
      <c r="E73" s="20" t="s">
        <v>203</v>
      </c>
      <c r="F73" s="20" t="s">
        <v>262</v>
      </c>
      <c r="G73" s="20" t="s">
        <v>338</v>
      </c>
      <c r="H73" s="20" t="s">
        <v>378</v>
      </c>
      <c r="I73" s="53" t="s">
        <v>661</v>
      </c>
      <c r="J73" s="20" t="s">
        <v>472</v>
      </c>
      <c r="K73" s="20" t="s">
        <v>544</v>
      </c>
      <c r="L73" s="20">
        <v>1</v>
      </c>
      <c r="M73" s="20">
        <f t="shared" ref="M73" si="63">L73*5</f>
        <v>5</v>
      </c>
      <c r="N73" s="14" t="s">
        <v>575</v>
      </c>
      <c r="O73" s="45" t="s">
        <v>656</v>
      </c>
      <c r="P73" s="44" t="s">
        <v>628</v>
      </c>
      <c r="Q73" s="21">
        <f t="shared" ref="Q73" si="64">P73*N73</f>
        <v>6.9999999999999993E-2</v>
      </c>
      <c r="R73" s="20"/>
    </row>
    <row r="74" spans="1:18" ht="24">
      <c r="A74" s="1"/>
      <c r="B74" s="16">
        <f>ROW(B74) - ROW($B$7)</f>
        <v>67</v>
      </c>
      <c r="C74" s="22" t="s">
        <v>20</v>
      </c>
      <c r="D74" s="47" t="s">
        <v>93</v>
      </c>
      <c r="E74" s="47" t="s">
        <v>191</v>
      </c>
      <c r="F74" s="47" t="s">
        <v>262</v>
      </c>
      <c r="G74" s="47" t="s">
        <v>326</v>
      </c>
      <c r="H74" s="47" t="s">
        <v>378</v>
      </c>
      <c r="I74" s="53" t="s">
        <v>661</v>
      </c>
      <c r="J74" s="47" t="s">
        <v>460</v>
      </c>
      <c r="K74" s="47" t="s">
        <v>524</v>
      </c>
      <c r="L74" s="47">
        <v>13</v>
      </c>
      <c r="M74" s="47">
        <f>L74*5</f>
        <v>65</v>
      </c>
      <c r="N74" s="47" t="s">
        <v>575</v>
      </c>
      <c r="O74" s="48" t="s">
        <v>656</v>
      </c>
      <c r="P74" s="49" t="s">
        <v>502</v>
      </c>
      <c r="Q74" s="51" t="s">
        <v>502</v>
      </c>
      <c r="R74" s="52" t="s">
        <v>660</v>
      </c>
    </row>
    <row r="75" spans="1:18">
      <c r="A75" s="1"/>
      <c r="B75" s="17">
        <f t="shared" si="0"/>
        <v>68</v>
      </c>
      <c r="C75" s="23" t="s">
        <v>20</v>
      </c>
      <c r="D75" s="20" t="s">
        <v>94</v>
      </c>
      <c r="E75" s="20" t="s">
        <v>204</v>
      </c>
      <c r="F75" s="20" t="s">
        <v>262</v>
      </c>
      <c r="G75" s="20" t="s">
        <v>339</v>
      </c>
      <c r="H75" s="20" t="s">
        <v>378</v>
      </c>
      <c r="I75" s="53" t="s">
        <v>661</v>
      </c>
      <c r="J75" s="20" t="s">
        <v>473</v>
      </c>
      <c r="K75" s="20" t="s">
        <v>545</v>
      </c>
      <c r="L75" s="20">
        <v>1</v>
      </c>
      <c r="M75" s="20">
        <f t="shared" ref="M75" si="65">L75*5</f>
        <v>5</v>
      </c>
      <c r="N75" s="14" t="s">
        <v>579</v>
      </c>
      <c r="O75" s="45" t="s">
        <v>656</v>
      </c>
      <c r="P75" s="44" t="s">
        <v>631</v>
      </c>
      <c r="Q75" s="21">
        <f t="shared" ref="Q75" si="66">P75*N75</f>
        <v>0.5</v>
      </c>
      <c r="R75" s="20"/>
    </row>
    <row r="76" spans="1:18">
      <c r="A76" s="1"/>
      <c r="B76" s="16">
        <f>ROW(B76) - ROW($B$7)</f>
        <v>69</v>
      </c>
      <c r="C76" s="22" t="s">
        <v>19</v>
      </c>
      <c r="D76" s="14" t="s">
        <v>95</v>
      </c>
      <c r="E76" s="14" t="s">
        <v>205</v>
      </c>
      <c r="F76" s="14" t="s">
        <v>262</v>
      </c>
      <c r="G76" s="14" t="s">
        <v>340</v>
      </c>
      <c r="H76" s="14" t="s">
        <v>378</v>
      </c>
      <c r="I76" s="53" t="s">
        <v>661</v>
      </c>
      <c r="J76" s="14" t="s">
        <v>474</v>
      </c>
      <c r="K76" s="14" t="s">
        <v>530</v>
      </c>
      <c r="L76" s="14">
        <v>1</v>
      </c>
      <c r="M76" s="14">
        <f>L76*5</f>
        <v>5</v>
      </c>
      <c r="N76" s="14" t="s">
        <v>575</v>
      </c>
      <c r="O76" s="45" t="s">
        <v>656</v>
      </c>
      <c r="P76" s="44" t="s">
        <v>632</v>
      </c>
      <c r="Q76" s="15">
        <f>P76*N76</f>
        <v>0.33</v>
      </c>
      <c r="R76" s="14"/>
    </row>
    <row r="77" spans="1:18">
      <c r="A77" s="1"/>
      <c r="B77" s="17">
        <f t="shared" si="0"/>
        <v>70</v>
      </c>
      <c r="C77" s="23" t="s">
        <v>19</v>
      </c>
      <c r="D77" s="20" t="s">
        <v>96</v>
      </c>
      <c r="E77" s="20" t="s">
        <v>206</v>
      </c>
      <c r="F77" s="20" t="s">
        <v>263</v>
      </c>
      <c r="G77" s="20" t="s">
        <v>341</v>
      </c>
      <c r="H77" s="20" t="s">
        <v>378</v>
      </c>
      <c r="I77" s="53" t="s">
        <v>661</v>
      </c>
      <c r="J77" s="20" t="s">
        <v>475</v>
      </c>
      <c r="K77" s="20" t="s">
        <v>546</v>
      </c>
      <c r="L77" s="20">
        <v>1</v>
      </c>
      <c r="M77" s="20">
        <f t="shared" ref="M77" si="67">L77*5</f>
        <v>5</v>
      </c>
      <c r="N77" s="14" t="s">
        <v>575</v>
      </c>
      <c r="O77" s="45" t="s">
        <v>656</v>
      </c>
      <c r="P77" s="44" t="s">
        <v>633</v>
      </c>
      <c r="Q77" s="21">
        <f t="shared" ref="Q77" si="68">P77*N77</f>
        <v>0.09</v>
      </c>
      <c r="R77" s="20"/>
    </row>
    <row r="78" spans="1:18">
      <c r="A78" s="1"/>
      <c r="B78" s="16">
        <f>ROW(B78) - ROW($B$7)</f>
        <v>71</v>
      </c>
      <c r="C78" s="22" t="s">
        <v>19</v>
      </c>
      <c r="D78" s="14" t="s">
        <v>97</v>
      </c>
      <c r="E78" s="14" t="s">
        <v>207</v>
      </c>
      <c r="F78" s="14" t="s">
        <v>262</v>
      </c>
      <c r="G78" s="14" t="s">
        <v>342</v>
      </c>
      <c r="H78" s="14" t="s">
        <v>378</v>
      </c>
      <c r="I78" s="53" t="s">
        <v>661</v>
      </c>
      <c r="J78" s="14" t="s">
        <v>476</v>
      </c>
      <c r="K78" s="14" t="s">
        <v>547</v>
      </c>
      <c r="L78" s="14">
        <v>2</v>
      </c>
      <c r="M78" s="14">
        <f>L78*5</f>
        <v>10</v>
      </c>
      <c r="N78" s="14" t="s">
        <v>575</v>
      </c>
      <c r="O78" s="45" t="s">
        <v>656</v>
      </c>
      <c r="P78" s="44" t="s">
        <v>628</v>
      </c>
      <c r="Q78" s="15">
        <f>P78*N78</f>
        <v>6.9999999999999993E-2</v>
      </c>
      <c r="R78" s="14"/>
    </row>
    <row r="79" spans="1:18">
      <c r="A79" s="1"/>
      <c r="B79" s="17">
        <f t="shared" si="0"/>
        <v>72</v>
      </c>
      <c r="C79" s="23" t="s">
        <v>19</v>
      </c>
      <c r="D79" s="47" t="s">
        <v>98</v>
      </c>
      <c r="E79" s="47" t="s">
        <v>189</v>
      </c>
      <c r="F79" s="47" t="s">
        <v>262</v>
      </c>
      <c r="G79" s="47" t="s">
        <v>324</v>
      </c>
      <c r="H79" s="47" t="s">
        <v>378</v>
      </c>
      <c r="I79" s="54" t="s">
        <v>661</v>
      </c>
      <c r="J79" s="47" t="s">
        <v>458</v>
      </c>
      <c r="K79" s="47" t="s">
        <v>521</v>
      </c>
      <c r="L79" s="47">
        <v>1</v>
      </c>
      <c r="M79" s="47">
        <f t="shared" ref="M79" si="69">L79*5</f>
        <v>5</v>
      </c>
      <c r="N79" s="47" t="s">
        <v>575</v>
      </c>
      <c r="O79" s="48" t="s">
        <v>656</v>
      </c>
      <c r="P79" s="49" t="s">
        <v>502</v>
      </c>
      <c r="Q79" s="50" t="s">
        <v>502</v>
      </c>
      <c r="R79" s="52" t="s">
        <v>660</v>
      </c>
    </row>
    <row r="80" spans="1:18">
      <c r="A80" s="1"/>
      <c r="B80" s="16">
        <f>ROW(B80) - ROW($B$7)</f>
        <v>73</v>
      </c>
      <c r="C80" s="23" t="s">
        <v>19</v>
      </c>
      <c r="D80" s="14" t="s">
        <v>99</v>
      </c>
      <c r="E80" s="14" t="s">
        <v>208</v>
      </c>
      <c r="F80" s="14" t="s">
        <v>262</v>
      </c>
      <c r="G80" s="14" t="s">
        <v>343</v>
      </c>
      <c r="H80" s="14" t="s">
        <v>378</v>
      </c>
      <c r="I80" s="53" t="s">
        <v>661</v>
      </c>
      <c r="J80" s="14" t="s">
        <v>477</v>
      </c>
      <c r="K80" s="14" t="s">
        <v>548</v>
      </c>
      <c r="L80" s="14">
        <v>5</v>
      </c>
      <c r="M80" s="14">
        <f>L80*5</f>
        <v>25</v>
      </c>
      <c r="N80" s="14" t="s">
        <v>575</v>
      </c>
      <c r="O80" s="45" t="s">
        <v>656</v>
      </c>
      <c r="P80" s="44" t="s">
        <v>628</v>
      </c>
      <c r="Q80" s="15">
        <f>P80*N80</f>
        <v>6.9999999999999993E-2</v>
      </c>
      <c r="R80" s="14"/>
    </row>
    <row r="81" spans="1:18" ht="24">
      <c r="A81" s="1"/>
      <c r="B81" s="17">
        <f t="shared" si="0"/>
        <v>74</v>
      </c>
      <c r="C81" s="23" t="s">
        <v>19</v>
      </c>
      <c r="D81" s="20" t="s">
        <v>100</v>
      </c>
      <c r="E81" s="20" t="s">
        <v>209</v>
      </c>
      <c r="F81" s="20" t="s">
        <v>262</v>
      </c>
      <c r="G81" s="20" t="s">
        <v>344</v>
      </c>
      <c r="H81" s="20" t="s">
        <v>378</v>
      </c>
      <c r="I81" s="53" t="s">
        <v>661</v>
      </c>
      <c r="J81" s="20" t="s">
        <v>478</v>
      </c>
      <c r="K81" s="20" t="s">
        <v>549</v>
      </c>
      <c r="L81" s="20">
        <v>8</v>
      </c>
      <c r="M81" s="20">
        <f t="shared" ref="M81" si="70">L81*5</f>
        <v>40</v>
      </c>
      <c r="N81" s="14" t="s">
        <v>575</v>
      </c>
      <c r="O81" s="45" t="s">
        <v>656</v>
      </c>
      <c r="P81" s="44" t="s">
        <v>606</v>
      </c>
      <c r="Q81" s="21">
        <f t="shared" ref="Q81" si="71">P81*N81</f>
        <v>0.13</v>
      </c>
      <c r="R81" s="20"/>
    </row>
    <row r="82" spans="1:18">
      <c r="A82" s="1"/>
      <c r="B82" s="16">
        <f>ROW(B82) - ROW($B$7)</f>
        <v>75</v>
      </c>
      <c r="C82" s="22" t="s">
        <v>19</v>
      </c>
      <c r="D82" s="14" t="s">
        <v>101</v>
      </c>
      <c r="E82" s="14" t="s">
        <v>210</v>
      </c>
      <c r="F82" s="14" t="s">
        <v>263</v>
      </c>
      <c r="G82" s="14" t="s">
        <v>345</v>
      </c>
      <c r="H82" s="14" t="s">
        <v>378</v>
      </c>
      <c r="I82" s="53" t="s">
        <v>661</v>
      </c>
      <c r="J82" s="14" t="s">
        <v>479</v>
      </c>
      <c r="K82" s="14" t="s">
        <v>530</v>
      </c>
      <c r="L82" s="14">
        <v>4</v>
      </c>
      <c r="M82" s="14">
        <f>L82*5</f>
        <v>20</v>
      </c>
      <c r="N82" s="14" t="s">
        <v>575</v>
      </c>
      <c r="O82" s="45" t="s">
        <v>656</v>
      </c>
      <c r="P82" s="44" t="s">
        <v>633</v>
      </c>
      <c r="Q82" s="15">
        <f>P82*N82</f>
        <v>0.09</v>
      </c>
      <c r="R82" s="14"/>
    </row>
    <row r="83" spans="1:18">
      <c r="A83" s="1"/>
      <c r="B83" s="17">
        <f t="shared" si="0"/>
        <v>76</v>
      </c>
      <c r="C83" s="23" t="s">
        <v>19</v>
      </c>
      <c r="D83" s="20" t="s">
        <v>102</v>
      </c>
      <c r="E83" s="20" t="s">
        <v>211</v>
      </c>
      <c r="F83" s="20" t="s">
        <v>263</v>
      </c>
      <c r="G83" s="20" t="s">
        <v>346</v>
      </c>
      <c r="H83" s="20" t="s">
        <v>378</v>
      </c>
      <c r="I83" s="53" t="s">
        <v>661</v>
      </c>
      <c r="J83" s="20" t="s">
        <v>480</v>
      </c>
      <c r="K83" s="20" t="s">
        <v>550</v>
      </c>
      <c r="L83" s="20">
        <v>1</v>
      </c>
      <c r="M83" s="20">
        <f t="shared" ref="M83" si="72">L83*5</f>
        <v>5</v>
      </c>
      <c r="N83" s="14" t="s">
        <v>575</v>
      </c>
      <c r="O83" s="45" t="s">
        <v>656</v>
      </c>
      <c r="P83" s="44" t="s">
        <v>634</v>
      </c>
      <c r="Q83" s="21">
        <f t="shared" ref="Q83" si="73">P83*N83</f>
        <v>0.38</v>
      </c>
      <c r="R83" s="20"/>
    </row>
    <row r="84" spans="1:18">
      <c r="A84" s="1"/>
      <c r="B84" s="16">
        <f>ROW(B84) - ROW($B$7)</f>
        <v>77</v>
      </c>
      <c r="C84" s="22" t="s">
        <v>19</v>
      </c>
      <c r="D84" s="47" t="s">
        <v>103</v>
      </c>
      <c r="E84" s="47" t="s">
        <v>212</v>
      </c>
      <c r="F84" s="47" t="s">
        <v>262</v>
      </c>
      <c r="G84" s="47" t="s">
        <v>347</v>
      </c>
      <c r="H84" s="47" t="s">
        <v>378</v>
      </c>
      <c r="I84" s="54" t="s">
        <v>661</v>
      </c>
      <c r="J84" s="47" t="s">
        <v>481</v>
      </c>
      <c r="K84" s="47" t="s">
        <v>551</v>
      </c>
      <c r="L84" s="47">
        <v>4</v>
      </c>
      <c r="M84" s="47">
        <f>L84*5</f>
        <v>20</v>
      </c>
      <c r="N84" s="47" t="s">
        <v>575</v>
      </c>
      <c r="O84" s="48" t="s">
        <v>656</v>
      </c>
      <c r="P84" s="49" t="s">
        <v>502</v>
      </c>
      <c r="Q84" s="50" t="s">
        <v>502</v>
      </c>
      <c r="R84" s="52" t="s">
        <v>660</v>
      </c>
    </row>
    <row r="85" spans="1:18">
      <c r="A85" s="1"/>
      <c r="B85" s="17">
        <f t="shared" si="0"/>
        <v>78</v>
      </c>
      <c r="C85" s="23" t="s">
        <v>19</v>
      </c>
      <c r="D85" s="20" t="s">
        <v>104</v>
      </c>
      <c r="E85" s="20" t="s">
        <v>212</v>
      </c>
      <c r="F85" s="20" t="s">
        <v>262</v>
      </c>
      <c r="G85" s="20" t="s">
        <v>347</v>
      </c>
      <c r="H85" s="20" t="s">
        <v>378</v>
      </c>
      <c r="I85" s="53" t="s">
        <v>661</v>
      </c>
      <c r="J85" s="20" t="s">
        <v>481</v>
      </c>
      <c r="K85" s="20" t="s">
        <v>552</v>
      </c>
      <c r="L85" s="20">
        <v>2</v>
      </c>
      <c r="M85" s="20">
        <f t="shared" ref="M85" si="74">L85*5</f>
        <v>10</v>
      </c>
      <c r="N85" s="14" t="s">
        <v>575</v>
      </c>
      <c r="O85" s="45" t="s">
        <v>656</v>
      </c>
      <c r="P85" s="44" t="s">
        <v>600</v>
      </c>
      <c r="Q85" s="21">
        <f t="shared" ref="Q85" si="75">P85*N85</f>
        <v>0.06</v>
      </c>
      <c r="R85" s="20"/>
    </row>
    <row r="86" spans="1:18">
      <c r="A86" s="1"/>
      <c r="B86" s="16">
        <f>ROW(B86) - ROW($B$7)</f>
        <v>79</v>
      </c>
      <c r="C86" s="22" t="s">
        <v>19</v>
      </c>
      <c r="D86" s="47" t="s">
        <v>105</v>
      </c>
      <c r="E86" s="47" t="s">
        <v>213</v>
      </c>
      <c r="F86" s="47" t="s">
        <v>262</v>
      </c>
      <c r="G86" s="47" t="s">
        <v>348</v>
      </c>
      <c r="H86" s="47" t="s">
        <v>378</v>
      </c>
      <c r="I86" s="54" t="s">
        <v>661</v>
      </c>
      <c r="J86" s="47" t="s">
        <v>482</v>
      </c>
      <c r="K86" s="47" t="s">
        <v>551</v>
      </c>
      <c r="L86" s="47">
        <v>2</v>
      </c>
      <c r="M86" s="47">
        <f>L86*5</f>
        <v>10</v>
      </c>
      <c r="N86" s="47" t="s">
        <v>575</v>
      </c>
      <c r="O86" s="48" t="s">
        <v>656</v>
      </c>
      <c r="P86" s="49" t="s">
        <v>502</v>
      </c>
      <c r="Q86" s="50" t="s">
        <v>502</v>
      </c>
      <c r="R86" s="52" t="s">
        <v>660</v>
      </c>
    </row>
    <row r="87" spans="1:18">
      <c r="A87" s="1"/>
      <c r="B87" s="17">
        <f t="shared" si="0"/>
        <v>80</v>
      </c>
      <c r="C87" s="23" t="s">
        <v>19</v>
      </c>
      <c r="D87" s="20" t="s">
        <v>106</v>
      </c>
      <c r="E87" s="20" t="s">
        <v>214</v>
      </c>
      <c r="F87" s="20" t="s">
        <v>264</v>
      </c>
      <c r="G87" s="20" t="s">
        <v>349</v>
      </c>
      <c r="H87" s="20" t="s">
        <v>378</v>
      </c>
      <c r="I87" s="53" t="s">
        <v>661</v>
      </c>
      <c r="J87" s="20" t="s">
        <v>483</v>
      </c>
      <c r="K87" s="20" t="s">
        <v>532</v>
      </c>
      <c r="L87" s="20">
        <v>1</v>
      </c>
      <c r="M87" s="20">
        <f t="shared" ref="M87" si="76">L87*5</f>
        <v>5</v>
      </c>
      <c r="N87" s="14" t="s">
        <v>583</v>
      </c>
      <c r="O87" s="45"/>
      <c r="P87" s="44" t="s">
        <v>600</v>
      </c>
      <c r="Q87" s="21">
        <f t="shared" ref="Q87" si="77">P87*N87</f>
        <v>2.9999999999999996</v>
      </c>
      <c r="R87" s="20"/>
    </row>
    <row r="88" spans="1:18" ht="36">
      <c r="A88" s="1"/>
      <c r="B88" s="16">
        <f>ROW(B88) - ROW($B$7)</f>
        <v>81</v>
      </c>
      <c r="C88" s="22" t="s">
        <v>20</v>
      </c>
      <c r="D88" s="47" t="s">
        <v>107</v>
      </c>
      <c r="E88" s="47" t="s">
        <v>191</v>
      </c>
      <c r="F88" s="47" t="s">
        <v>262</v>
      </c>
      <c r="G88" s="47" t="s">
        <v>326</v>
      </c>
      <c r="H88" s="47" t="s">
        <v>378</v>
      </c>
      <c r="I88" s="54" t="s">
        <v>661</v>
      </c>
      <c r="J88" s="47" t="s">
        <v>460</v>
      </c>
      <c r="K88" s="47" t="s">
        <v>551</v>
      </c>
      <c r="L88" s="47">
        <v>14</v>
      </c>
      <c r="M88" s="47">
        <f>L88*5</f>
        <v>70</v>
      </c>
      <c r="N88" s="47" t="s">
        <v>575</v>
      </c>
      <c r="O88" s="48" t="s">
        <v>656</v>
      </c>
      <c r="P88" s="49" t="s">
        <v>502</v>
      </c>
      <c r="Q88" s="50" t="s">
        <v>502</v>
      </c>
      <c r="R88" s="52" t="s">
        <v>660</v>
      </c>
    </row>
    <row r="89" spans="1:18">
      <c r="A89" s="1"/>
      <c r="B89" s="17">
        <f t="shared" si="0"/>
        <v>82</v>
      </c>
      <c r="C89" s="23" t="s">
        <v>19</v>
      </c>
      <c r="D89" s="20" t="s">
        <v>108</v>
      </c>
      <c r="E89" s="20" t="s">
        <v>215</v>
      </c>
      <c r="F89" s="20" t="s">
        <v>264</v>
      </c>
      <c r="G89" s="20" t="s">
        <v>350</v>
      </c>
      <c r="H89" s="20" t="s">
        <v>378</v>
      </c>
      <c r="I89" s="53" t="s">
        <v>661</v>
      </c>
      <c r="J89" s="20" t="s">
        <v>484</v>
      </c>
      <c r="K89" s="20" t="s">
        <v>547</v>
      </c>
      <c r="L89" s="20">
        <v>1</v>
      </c>
      <c r="M89" s="20">
        <f t="shared" ref="M89" si="78">L89*5</f>
        <v>5</v>
      </c>
      <c r="N89" s="14" t="s">
        <v>575</v>
      </c>
      <c r="O89" s="45" t="s">
        <v>656</v>
      </c>
      <c r="P89" s="44" t="s">
        <v>606</v>
      </c>
      <c r="Q89" s="21">
        <f t="shared" ref="Q89" si="79">P89*N89</f>
        <v>0.13</v>
      </c>
      <c r="R89" s="20"/>
    </row>
    <row r="90" spans="1:18">
      <c r="A90" s="1"/>
      <c r="B90" s="16">
        <f>ROW(B90) - ROW($B$7)</f>
        <v>83</v>
      </c>
      <c r="C90" s="22" t="s">
        <v>19</v>
      </c>
      <c r="D90" s="14" t="s">
        <v>109</v>
      </c>
      <c r="E90" s="14" t="s">
        <v>216</v>
      </c>
      <c r="F90" s="14" t="s">
        <v>264</v>
      </c>
      <c r="G90" s="14" t="s">
        <v>351</v>
      </c>
      <c r="H90" s="14" t="s">
        <v>378</v>
      </c>
      <c r="I90" s="53" t="s">
        <v>661</v>
      </c>
      <c r="J90" s="14" t="s">
        <v>485</v>
      </c>
      <c r="K90" s="14" t="s">
        <v>553</v>
      </c>
      <c r="L90" s="14">
        <v>1</v>
      </c>
      <c r="M90" s="14">
        <f>L90*5</f>
        <v>5</v>
      </c>
      <c r="N90" s="14" t="s">
        <v>576</v>
      </c>
      <c r="O90" s="45" t="s">
        <v>656</v>
      </c>
      <c r="P90" s="44" t="s">
        <v>635</v>
      </c>
      <c r="Q90" s="15">
        <f>P90*N90</f>
        <v>0.47399999999999998</v>
      </c>
      <c r="R90" s="14"/>
    </row>
    <row r="91" spans="1:18">
      <c r="A91" s="1"/>
      <c r="B91" s="17">
        <f t="shared" si="0"/>
        <v>84</v>
      </c>
      <c r="C91" s="23" t="s">
        <v>19</v>
      </c>
      <c r="D91" s="20" t="s">
        <v>110</v>
      </c>
      <c r="E91" s="20" t="s">
        <v>217</v>
      </c>
      <c r="F91" s="20" t="s">
        <v>262</v>
      </c>
      <c r="G91" s="20" t="s">
        <v>352</v>
      </c>
      <c r="H91" s="20" t="s">
        <v>378</v>
      </c>
      <c r="I91" s="53" t="s">
        <v>661</v>
      </c>
      <c r="J91" s="20" t="s">
        <v>486</v>
      </c>
      <c r="K91" s="20" t="s">
        <v>534</v>
      </c>
      <c r="L91" s="20">
        <v>1</v>
      </c>
      <c r="M91" s="20">
        <f t="shared" ref="M91" si="80">L91*5</f>
        <v>5</v>
      </c>
      <c r="N91" s="14" t="s">
        <v>579</v>
      </c>
      <c r="O91" s="45" t="s">
        <v>656</v>
      </c>
      <c r="P91" s="44" t="s">
        <v>636</v>
      </c>
      <c r="Q91" s="21">
        <f t="shared" ref="Q91" si="81">P91*N91</f>
        <v>0.97</v>
      </c>
      <c r="R91" s="20"/>
    </row>
    <row r="92" spans="1:18">
      <c r="A92" s="1"/>
      <c r="B92" s="16">
        <f>ROW(B92) - ROW($B$7)</f>
        <v>85</v>
      </c>
      <c r="C92" s="23" t="s">
        <v>19</v>
      </c>
      <c r="D92" s="14" t="s">
        <v>111</v>
      </c>
      <c r="E92" s="14" t="s">
        <v>218</v>
      </c>
      <c r="F92" s="14" t="s">
        <v>262</v>
      </c>
      <c r="G92" s="14" t="s">
        <v>353</v>
      </c>
      <c r="H92" s="14" t="s">
        <v>378</v>
      </c>
      <c r="I92" s="53" t="s">
        <v>661</v>
      </c>
      <c r="J92" s="14"/>
      <c r="K92" s="14" t="s">
        <v>554</v>
      </c>
      <c r="L92" s="14">
        <v>2</v>
      </c>
      <c r="M92" s="14">
        <f>L92*5</f>
        <v>10</v>
      </c>
      <c r="N92" s="14" t="s">
        <v>575</v>
      </c>
      <c r="O92" s="45" t="s">
        <v>656</v>
      </c>
      <c r="P92" s="44" t="s">
        <v>628</v>
      </c>
      <c r="Q92" s="15">
        <f>P92*N92</f>
        <v>6.9999999999999993E-2</v>
      </c>
      <c r="R92" s="14"/>
    </row>
    <row r="93" spans="1:18">
      <c r="A93" s="1"/>
      <c r="B93" s="17">
        <f t="shared" si="0"/>
        <v>86</v>
      </c>
      <c r="C93" s="23" t="s">
        <v>19</v>
      </c>
      <c r="D93" s="47" t="s">
        <v>112</v>
      </c>
      <c r="E93" s="47" t="s">
        <v>189</v>
      </c>
      <c r="F93" s="47" t="s">
        <v>262</v>
      </c>
      <c r="G93" s="47" t="s">
        <v>324</v>
      </c>
      <c r="H93" s="47" t="s">
        <v>378</v>
      </c>
      <c r="I93" s="54" t="s">
        <v>661</v>
      </c>
      <c r="J93" s="47" t="s">
        <v>458</v>
      </c>
      <c r="K93" s="47" t="s">
        <v>524</v>
      </c>
      <c r="L93" s="47">
        <v>2</v>
      </c>
      <c r="M93" s="47">
        <f t="shared" ref="M93" si="82">L93*5</f>
        <v>10</v>
      </c>
      <c r="N93" s="47" t="s">
        <v>575</v>
      </c>
      <c r="O93" s="48" t="s">
        <v>656</v>
      </c>
      <c r="P93" s="49" t="s">
        <v>502</v>
      </c>
      <c r="Q93" s="50" t="s">
        <v>502</v>
      </c>
      <c r="R93" s="52" t="s">
        <v>660</v>
      </c>
    </row>
    <row r="94" spans="1:18">
      <c r="A94" s="1"/>
      <c r="B94" s="16">
        <f>ROW(B94) - ROW($B$7)</f>
        <v>87</v>
      </c>
      <c r="C94" s="23" t="s">
        <v>19</v>
      </c>
      <c r="D94" s="14" t="s">
        <v>113</v>
      </c>
      <c r="E94" s="14" t="s">
        <v>219</v>
      </c>
      <c r="F94" s="14" t="s">
        <v>262</v>
      </c>
      <c r="G94" s="14" t="s">
        <v>354</v>
      </c>
      <c r="H94" s="14" t="s">
        <v>378</v>
      </c>
      <c r="I94" s="53" t="s">
        <v>661</v>
      </c>
      <c r="J94" s="14" t="s">
        <v>487</v>
      </c>
      <c r="K94" s="14" t="s">
        <v>555</v>
      </c>
      <c r="L94" s="14">
        <v>2</v>
      </c>
      <c r="M94" s="14">
        <f>L94*5</f>
        <v>10</v>
      </c>
      <c r="N94" s="14" t="s">
        <v>579</v>
      </c>
      <c r="O94" s="45" t="s">
        <v>656</v>
      </c>
      <c r="P94" s="44" t="s">
        <v>637</v>
      </c>
      <c r="Q94" s="15">
        <f>P94*N94</f>
        <v>1.01</v>
      </c>
      <c r="R94" s="14"/>
    </row>
    <row r="95" spans="1:18">
      <c r="A95" s="1"/>
      <c r="B95" s="17">
        <f t="shared" si="0"/>
        <v>88</v>
      </c>
      <c r="C95" s="23" t="s">
        <v>19</v>
      </c>
      <c r="D95" s="47" t="s">
        <v>114</v>
      </c>
      <c r="E95" s="47" t="s">
        <v>189</v>
      </c>
      <c r="F95" s="47" t="s">
        <v>262</v>
      </c>
      <c r="G95" s="47" t="s">
        <v>324</v>
      </c>
      <c r="H95" s="47" t="s">
        <v>378</v>
      </c>
      <c r="I95" s="54" t="s">
        <v>661</v>
      </c>
      <c r="J95" s="47" t="s">
        <v>458</v>
      </c>
      <c r="K95" s="47" t="s">
        <v>551</v>
      </c>
      <c r="L95" s="47">
        <v>2</v>
      </c>
      <c r="M95" s="47">
        <f t="shared" ref="M95" si="83">L95*5</f>
        <v>10</v>
      </c>
      <c r="N95" s="47" t="s">
        <v>575</v>
      </c>
      <c r="O95" s="48" t="s">
        <v>656</v>
      </c>
      <c r="P95" s="49" t="s">
        <v>502</v>
      </c>
      <c r="Q95" s="50" t="s">
        <v>502</v>
      </c>
      <c r="R95" s="52" t="s">
        <v>660</v>
      </c>
    </row>
    <row r="96" spans="1:18">
      <c r="A96" s="1"/>
      <c r="B96" s="16">
        <f>ROW(B96) - ROW($B$7)</f>
        <v>89</v>
      </c>
      <c r="C96" s="23" t="s">
        <v>19</v>
      </c>
      <c r="D96" s="14" t="s">
        <v>115</v>
      </c>
      <c r="E96" s="14" t="s">
        <v>220</v>
      </c>
      <c r="F96" s="14" t="s">
        <v>262</v>
      </c>
      <c r="G96" s="14" t="s">
        <v>355</v>
      </c>
      <c r="H96" s="14" t="s">
        <v>378</v>
      </c>
      <c r="I96" s="53" t="s">
        <v>661</v>
      </c>
      <c r="J96" s="14" t="s">
        <v>488</v>
      </c>
      <c r="K96" s="14" t="s">
        <v>556</v>
      </c>
      <c r="L96" s="14">
        <v>1</v>
      </c>
      <c r="M96" s="14">
        <f>L96*5</f>
        <v>5</v>
      </c>
      <c r="N96" s="14" t="s">
        <v>575</v>
      </c>
      <c r="O96" s="45" t="s">
        <v>656</v>
      </c>
      <c r="P96" s="44" t="s">
        <v>600</v>
      </c>
      <c r="Q96" s="15">
        <f>P96*N96</f>
        <v>0.06</v>
      </c>
      <c r="R96" s="14"/>
    </row>
    <row r="97" spans="1:18">
      <c r="A97" s="1"/>
      <c r="B97" s="17">
        <f t="shared" si="0"/>
        <v>90</v>
      </c>
      <c r="C97" s="23" t="s">
        <v>19</v>
      </c>
      <c r="D97" s="20" t="s">
        <v>116</v>
      </c>
      <c r="E97" s="20" t="s">
        <v>221</v>
      </c>
      <c r="F97" s="20" t="s">
        <v>262</v>
      </c>
      <c r="G97" s="20" t="s">
        <v>356</v>
      </c>
      <c r="H97" s="20" t="s">
        <v>378</v>
      </c>
      <c r="I97" s="53" t="s">
        <v>661</v>
      </c>
      <c r="J97" s="20"/>
      <c r="K97" s="20" t="s">
        <v>557</v>
      </c>
      <c r="L97" s="20">
        <v>5</v>
      </c>
      <c r="M97" s="20">
        <f t="shared" ref="M97" si="84">L97*5</f>
        <v>25</v>
      </c>
      <c r="N97" s="14" t="s">
        <v>575</v>
      </c>
      <c r="O97" s="45" t="s">
        <v>656</v>
      </c>
      <c r="P97" s="44" t="s">
        <v>600</v>
      </c>
      <c r="Q97" s="21">
        <f t="shared" ref="Q97" si="85">P97*N97</f>
        <v>0.06</v>
      </c>
      <c r="R97" s="20"/>
    </row>
    <row r="98" spans="1:18">
      <c r="A98" s="1"/>
      <c r="B98" s="16">
        <f>ROW(B98) - ROW($B$7)</f>
        <v>91</v>
      </c>
      <c r="C98" s="22" t="s">
        <v>19</v>
      </c>
      <c r="D98" s="47" t="s">
        <v>117</v>
      </c>
      <c r="E98" s="47" t="s">
        <v>213</v>
      </c>
      <c r="F98" s="47" t="s">
        <v>262</v>
      </c>
      <c r="G98" s="47" t="s">
        <v>348</v>
      </c>
      <c r="H98" s="47" t="s">
        <v>378</v>
      </c>
      <c r="I98" s="54" t="s">
        <v>661</v>
      </c>
      <c r="J98" s="47" t="s">
        <v>482</v>
      </c>
      <c r="K98" s="47" t="s">
        <v>524</v>
      </c>
      <c r="L98" s="47">
        <v>1</v>
      </c>
      <c r="M98" s="47">
        <f>L98*5</f>
        <v>5</v>
      </c>
      <c r="N98" s="47" t="s">
        <v>575</v>
      </c>
      <c r="O98" s="48" t="s">
        <v>656</v>
      </c>
      <c r="P98" s="49" t="s">
        <v>502</v>
      </c>
      <c r="Q98" s="50" t="s">
        <v>502</v>
      </c>
      <c r="R98" s="52" t="s">
        <v>660</v>
      </c>
    </row>
    <row r="99" spans="1:18">
      <c r="A99" s="1"/>
      <c r="B99" s="17">
        <f t="shared" si="0"/>
        <v>92</v>
      </c>
      <c r="C99" s="23" t="s">
        <v>19</v>
      </c>
      <c r="D99" s="47" t="s">
        <v>118</v>
      </c>
      <c r="E99" s="46" t="s">
        <v>193</v>
      </c>
      <c r="F99" s="46" t="s">
        <v>262</v>
      </c>
      <c r="G99" s="46" t="s">
        <v>328</v>
      </c>
      <c r="H99" s="46" t="s">
        <v>378</v>
      </c>
      <c r="I99" s="54" t="s">
        <v>661</v>
      </c>
      <c r="J99" s="46" t="s">
        <v>462</v>
      </c>
      <c r="K99" s="46" t="s">
        <v>524</v>
      </c>
      <c r="L99" s="46">
        <v>1</v>
      </c>
      <c r="M99" s="46">
        <f t="shared" ref="M99" si="86">L99*5</f>
        <v>5</v>
      </c>
      <c r="N99" s="47" t="s">
        <v>575</v>
      </c>
      <c r="O99" s="48" t="s">
        <v>656</v>
      </c>
      <c r="P99" s="49" t="s">
        <v>502</v>
      </c>
      <c r="Q99" s="50" t="s">
        <v>502</v>
      </c>
      <c r="R99" s="52" t="s">
        <v>660</v>
      </c>
    </row>
    <row r="100" spans="1:18">
      <c r="A100" s="1"/>
      <c r="B100" s="16">
        <f>ROW(B100) - ROW($B$7)</f>
        <v>93</v>
      </c>
      <c r="C100" s="22" t="s">
        <v>21</v>
      </c>
      <c r="D100" s="14" t="s">
        <v>119</v>
      </c>
      <c r="E100" s="14" t="s">
        <v>222</v>
      </c>
      <c r="F100" s="20" t="s">
        <v>659</v>
      </c>
      <c r="G100" s="14" t="s">
        <v>265</v>
      </c>
      <c r="H100" s="14" t="s">
        <v>396</v>
      </c>
      <c r="I100" s="53" t="s">
        <v>661</v>
      </c>
      <c r="J100" s="14" t="s">
        <v>489</v>
      </c>
      <c r="K100" s="14" t="s">
        <v>502</v>
      </c>
      <c r="L100" s="14">
        <v>3</v>
      </c>
      <c r="M100" s="14">
        <f>L100*5</f>
        <v>15</v>
      </c>
      <c r="N100" s="14">
        <v>20</v>
      </c>
      <c r="O100" s="45" t="s">
        <v>656</v>
      </c>
      <c r="P100" s="44" t="s">
        <v>638</v>
      </c>
      <c r="Q100" s="15">
        <f>P100*N100</f>
        <v>3.0339999999999998</v>
      </c>
      <c r="R100" s="14"/>
    </row>
    <row r="101" spans="1:18" ht="24">
      <c r="A101" s="1"/>
      <c r="B101" s="17">
        <f t="shared" si="0"/>
        <v>94</v>
      </c>
      <c r="C101" s="23" t="s">
        <v>22</v>
      </c>
      <c r="D101" s="20" t="s">
        <v>120</v>
      </c>
      <c r="E101" s="20" t="s">
        <v>223</v>
      </c>
      <c r="F101" s="20" t="s">
        <v>266</v>
      </c>
      <c r="G101" s="20" t="s">
        <v>357</v>
      </c>
      <c r="H101" s="20" t="s">
        <v>397</v>
      </c>
      <c r="I101" s="53" t="s">
        <v>661</v>
      </c>
      <c r="J101" s="20" t="s">
        <v>490</v>
      </c>
      <c r="K101" s="20" t="s">
        <v>502</v>
      </c>
      <c r="L101" s="20">
        <v>1</v>
      </c>
      <c r="M101" s="20">
        <f t="shared" ref="M101" si="87">L101*5</f>
        <v>5</v>
      </c>
      <c r="N101" s="14">
        <v>6</v>
      </c>
      <c r="O101" s="45" t="s">
        <v>656</v>
      </c>
      <c r="P101" s="44" t="s">
        <v>639</v>
      </c>
      <c r="Q101" s="21">
        <f t="shared" ref="Q101" si="88">P101*N101</f>
        <v>65.206199999999995</v>
      </c>
      <c r="R101" s="20"/>
    </row>
    <row r="102" spans="1:18">
      <c r="A102" s="1"/>
      <c r="B102" s="16">
        <f>ROW(B102) - ROW($B$7)</f>
        <v>95</v>
      </c>
      <c r="C102" s="23" t="s">
        <v>22</v>
      </c>
      <c r="D102" s="14" t="s">
        <v>121</v>
      </c>
      <c r="E102" s="14" t="s">
        <v>224</v>
      </c>
      <c r="F102" s="14" t="s">
        <v>267</v>
      </c>
      <c r="G102" s="14" t="s">
        <v>358</v>
      </c>
      <c r="H102" s="14" t="s">
        <v>398</v>
      </c>
      <c r="I102" s="53" t="s">
        <v>661</v>
      </c>
      <c r="J102" s="14"/>
      <c r="K102" s="20" t="s">
        <v>502</v>
      </c>
      <c r="L102" s="14">
        <v>1</v>
      </c>
      <c r="M102" s="14">
        <f>L102*5</f>
        <v>5</v>
      </c>
      <c r="N102" s="14">
        <v>6</v>
      </c>
      <c r="O102" s="45" t="s">
        <v>656</v>
      </c>
      <c r="P102" s="44" t="s">
        <v>640</v>
      </c>
      <c r="Q102" s="15">
        <f>P102*N102</f>
        <v>5.4792000000000005</v>
      </c>
      <c r="R102" s="14"/>
    </row>
    <row r="103" spans="1:18">
      <c r="A103" s="1"/>
      <c r="B103" s="17">
        <f t="shared" si="0"/>
        <v>96</v>
      </c>
      <c r="C103" s="23" t="s">
        <v>22</v>
      </c>
      <c r="D103" s="20" t="s">
        <v>122</v>
      </c>
      <c r="E103" s="20" t="s">
        <v>225</v>
      </c>
      <c r="F103" s="20" t="s">
        <v>268</v>
      </c>
      <c r="G103" s="20" t="s">
        <v>359</v>
      </c>
      <c r="H103" s="20" t="s">
        <v>380</v>
      </c>
      <c r="I103" s="53" t="s">
        <v>661</v>
      </c>
      <c r="J103" s="20" t="s">
        <v>491</v>
      </c>
      <c r="K103" s="20" t="s">
        <v>502</v>
      </c>
      <c r="L103" s="20">
        <v>1</v>
      </c>
      <c r="M103" s="20">
        <f t="shared" ref="M103" si="89">L103*5</f>
        <v>5</v>
      </c>
      <c r="N103" s="14">
        <v>6</v>
      </c>
      <c r="O103" s="45" t="s">
        <v>656</v>
      </c>
      <c r="P103" s="44" t="s">
        <v>641</v>
      </c>
      <c r="Q103" s="21">
        <f t="shared" ref="Q103" si="90">P103*N103</f>
        <v>21.375600000000002</v>
      </c>
      <c r="R103" s="20"/>
    </row>
    <row r="104" spans="1:18" ht="24">
      <c r="A104" s="1"/>
      <c r="B104" s="16">
        <f>ROW(B104) - ROW($B$7)</f>
        <v>97</v>
      </c>
      <c r="C104" s="23" t="s">
        <v>22</v>
      </c>
      <c r="D104" s="14" t="s">
        <v>123</v>
      </c>
      <c r="E104" s="14" t="s">
        <v>226</v>
      </c>
      <c r="F104" s="14" t="s">
        <v>269</v>
      </c>
      <c r="G104" s="14" t="s">
        <v>360</v>
      </c>
      <c r="H104" s="14" t="s">
        <v>399</v>
      </c>
      <c r="I104" s="53" t="s">
        <v>661</v>
      </c>
      <c r="J104" s="14" t="s">
        <v>492</v>
      </c>
      <c r="K104" s="20" t="s">
        <v>502</v>
      </c>
      <c r="L104" s="14">
        <v>2</v>
      </c>
      <c r="M104" s="14">
        <f>L104*5</f>
        <v>10</v>
      </c>
      <c r="N104" s="14">
        <v>15</v>
      </c>
      <c r="O104" s="45" t="s">
        <v>656</v>
      </c>
      <c r="P104" s="44" t="s">
        <v>642</v>
      </c>
      <c r="Q104" s="15">
        <f>P104*N104</f>
        <v>1.4625000000000001</v>
      </c>
      <c r="R104" s="14"/>
    </row>
    <row r="105" spans="1:18" ht="24">
      <c r="A105" s="1"/>
      <c r="B105" s="17">
        <f t="shared" si="0"/>
        <v>98</v>
      </c>
      <c r="C105" s="23" t="s">
        <v>22</v>
      </c>
      <c r="D105" s="20" t="s">
        <v>124</v>
      </c>
      <c r="E105" s="20" t="s">
        <v>227</v>
      </c>
      <c r="F105" s="20" t="s">
        <v>270</v>
      </c>
      <c r="G105" s="20" t="s">
        <v>361</v>
      </c>
      <c r="H105" s="20" t="s">
        <v>399</v>
      </c>
      <c r="I105" s="53" t="s">
        <v>661</v>
      </c>
      <c r="J105" s="20" t="s">
        <v>493</v>
      </c>
      <c r="K105" s="20" t="s">
        <v>502</v>
      </c>
      <c r="L105" s="20">
        <v>1</v>
      </c>
      <c r="M105" s="20">
        <f t="shared" ref="M105" si="91">L105*5</f>
        <v>5</v>
      </c>
      <c r="N105" s="14">
        <v>6</v>
      </c>
      <c r="O105" s="45" t="s">
        <v>656</v>
      </c>
      <c r="P105" s="44" t="s">
        <v>643</v>
      </c>
      <c r="Q105" s="21">
        <f t="shared" ref="Q105" si="92">P105*N105</f>
        <v>2.8271999999999999</v>
      </c>
      <c r="R105" s="20"/>
    </row>
    <row r="106" spans="1:18" ht="24">
      <c r="A106" s="1"/>
      <c r="B106" s="16">
        <f>ROW(B106) - ROW($B$7)</f>
        <v>99</v>
      </c>
      <c r="C106" s="22" t="s">
        <v>22</v>
      </c>
      <c r="D106" s="14" t="s">
        <v>125</v>
      </c>
      <c r="E106" s="14" t="s">
        <v>228</v>
      </c>
      <c r="F106" s="14" t="s">
        <v>271</v>
      </c>
      <c r="G106" s="14" t="s">
        <v>362</v>
      </c>
      <c r="H106" s="14" t="s">
        <v>400</v>
      </c>
      <c r="I106" s="53" t="s">
        <v>661</v>
      </c>
      <c r="J106" s="14" t="s">
        <v>494</v>
      </c>
      <c r="K106" s="20" t="s">
        <v>502</v>
      </c>
      <c r="L106" s="14">
        <v>1</v>
      </c>
      <c r="M106" s="14">
        <f>L106*5</f>
        <v>5</v>
      </c>
      <c r="N106" s="14">
        <v>6</v>
      </c>
      <c r="O106" s="45" t="s">
        <v>656</v>
      </c>
      <c r="P106" s="44" t="s">
        <v>644</v>
      </c>
      <c r="Q106" s="15">
        <f>P106*N106</f>
        <v>10.353</v>
      </c>
      <c r="R106" s="14"/>
    </row>
    <row r="107" spans="1:18" ht="24">
      <c r="A107" s="1"/>
      <c r="B107" s="17">
        <f t="shared" si="0"/>
        <v>100</v>
      </c>
      <c r="C107" s="23" t="s">
        <v>22</v>
      </c>
      <c r="D107" s="20" t="s">
        <v>126</v>
      </c>
      <c r="E107" s="20" t="s">
        <v>229</v>
      </c>
      <c r="F107" s="20" t="s">
        <v>272</v>
      </c>
      <c r="G107" s="20" t="s">
        <v>363</v>
      </c>
      <c r="H107" s="20" t="s">
        <v>397</v>
      </c>
      <c r="I107" s="53" t="s">
        <v>661</v>
      </c>
      <c r="J107" s="20" t="s">
        <v>495</v>
      </c>
      <c r="K107" s="20" t="s">
        <v>502</v>
      </c>
      <c r="L107" s="20">
        <v>1</v>
      </c>
      <c r="M107" s="20">
        <f t="shared" ref="M107" si="93">L107*5</f>
        <v>5</v>
      </c>
      <c r="N107" s="14">
        <v>6</v>
      </c>
      <c r="O107" s="45" t="s">
        <v>656</v>
      </c>
      <c r="P107" s="44" t="s">
        <v>645</v>
      </c>
      <c r="Q107" s="21">
        <f t="shared" ref="Q107" si="94">P107*N107</f>
        <v>17.866199999999999</v>
      </c>
      <c r="R107" s="20"/>
    </row>
    <row r="108" spans="1:18">
      <c r="A108" s="1"/>
      <c r="B108" s="16">
        <f>ROW(B108) - ROW($B$7)</f>
        <v>101</v>
      </c>
      <c r="C108" s="22" t="s">
        <v>22</v>
      </c>
      <c r="D108" s="14" t="s">
        <v>127</v>
      </c>
      <c r="E108" s="14" t="s">
        <v>230</v>
      </c>
      <c r="F108" s="14" t="s">
        <v>261</v>
      </c>
      <c r="G108" s="14" t="s">
        <v>364</v>
      </c>
      <c r="H108" s="14" t="s">
        <v>401</v>
      </c>
      <c r="I108" s="53" t="s">
        <v>661</v>
      </c>
      <c r="J108" s="14" t="s">
        <v>496</v>
      </c>
      <c r="K108" s="20" t="s">
        <v>502</v>
      </c>
      <c r="L108" s="14">
        <v>1</v>
      </c>
      <c r="M108" s="14">
        <f>L108*5</f>
        <v>5</v>
      </c>
      <c r="N108" s="14">
        <v>10</v>
      </c>
      <c r="O108" s="45" t="s">
        <v>656</v>
      </c>
      <c r="P108" s="44" t="s">
        <v>646</v>
      </c>
      <c r="Q108" s="15">
        <f>P108*N108</f>
        <v>0.70499999999999996</v>
      </c>
      <c r="R108" s="14"/>
    </row>
    <row r="109" spans="1:18" ht="24">
      <c r="A109" s="1"/>
      <c r="B109" s="17">
        <f t="shared" si="0"/>
        <v>102</v>
      </c>
      <c r="C109" s="23" t="s">
        <v>22</v>
      </c>
      <c r="D109" s="20" t="s">
        <v>128</v>
      </c>
      <c r="E109" s="20" t="s">
        <v>231</v>
      </c>
      <c r="F109" s="20" t="s">
        <v>269</v>
      </c>
      <c r="G109" s="20" t="s">
        <v>365</v>
      </c>
      <c r="H109" s="20" t="s">
        <v>399</v>
      </c>
      <c r="I109" s="53" t="s">
        <v>661</v>
      </c>
      <c r="J109" s="20" t="s">
        <v>497</v>
      </c>
      <c r="K109" s="20" t="s">
        <v>502</v>
      </c>
      <c r="L109" s="20">
        <v>1</v>
      </c>
      <c r="M109" s="20">
        <f t="shared" ref="M109" si="95">L109*5</f>
        <v>5</v>
      </c>
      <c r="N109" s="14">
        <v>10</v>
      </c>
      <c r="O109" s="45" t="s">
        <v>656</v>
      </c>
      <c r="P109" s="44" t="s">
        <v>647</v>
      </c>
      <c r="Q109" s="21">
        <f t="shared" ref="Q109" si="96">P109*N109</f>
        <v>1.554</v>
      </c>
      <c r="R109" s="20"/>
    </row>
    <row r="110" spans="1:18">
      <c r="A110" s="1"/>
      <c r="B110" s="16">
        <f>ROW(B110) - ROW($B$7)</f>
        <v>103</v>
      </c>
      <c r="C110" s="22" t="s">
        <v>22</v>
      </c>
      <c r="D110" s="14" t="s">
        <v>129</v>
      </c>
      <c r="E110" s="14" t="s">
        <v>232</v>
      </c>
      <c r="F110" s="14" t="s">
        <v>273</v>
      </c>
      <c r="G110" s="14" t="s">
        <v>366</v>
      </c>
      <c r="H110" s="14" t="s">
        <v>380</v>
      </c>
      <c r="I110" s="53" t="s">
        <v>661</v>
      </c>
      <c r="J110" s="14" t="s">
        <v>498</v>
      </c>
      <c r="K110" s="20" t="s">
        <v>502</v>
      </c>
      <c r="L110" s="14">
        <v>1</v>
      </c>
      <c r="M110" s="14">
        <f>L110*5</f>
        <v>5</v>
      </c>
      <c r="N110" s="14">
        <v>6</v>
      </c>
      <c r="O110" s="45" t="s">
        <v>656</v>
      </c>
      <c r="P110" s="44" t="s">
        <v>648</v>
      </c>
      <c r="Q110" s="15">
        <f>P110*N110</f>
        <v>116.44800000000001</v>
      </c>
      <c r="R110" s="14"/>
    </row>
    <row r="111" spans="1:18">
      <c r="A111" s="1"/>
      <c r="B111" s="17">
        <f t="shared" si="0"/>
        <v>104</v>
      </c>
      <c r="C111" s="23" t="s">
        <v>22</v>
      </c>
      <c r="D111" s="20" t="s">
        <v>130</v>
      </c>
      <c r="E111" s="20" t="s">
        <v>233</v>
      </c>
      <c r="F111" s="20" t="s">
        <v>274</v>
      </c>
      <c r="G111" s="20" t="s">
        <v>367</v>
      </c>
      <c r="H111" s="20" t="s">
        <v>402</v>
      </c>
      <c r="I111" s="53" t="s">
        <v>661</v>
      </c>
      <c r="J111" s="20" t="s">
        <v>499</v>
      </c>
      <c r="K111" s="20" t="s">
        <v>502</v>
      </c>
      <c r="L111" s="20">
        <v>1</v>
      </c>
      <c r="M111" s="20">
        <f t="shared" ref="M111" si="97">L111*5</f>
        <v>5</v>
      </c>
      <c r="N111" s="14">
        <v>6</v>
      </c>
      <c r="O111" s="45" t="s">
        <v>656</v>
      </c>
      <c r="P111" s="44" t="s">
        <v>649</v>
      </c>
      <c r="Q111" s="21">
        <f t="shared" ref="Q111" si="98">P111*N111</f>
        <v>3.5693999999999999</v>
      </c>
      <c r="R111" s="20"/>
    </row>
    <row r="112" spans="1:18">
      <c r="A112" s="1"/>
      <c r="B112" s="16">
        <f>ROW(B112) - ROW($B$7)</f>
        <v>105</v>
      </c>
      <c r="C112" s="22" t="s">
        <v>22</v>
      </c>
      <c r="D112" s="14" t="s">
        <v>131</v>
      </c>
      <c r="E112" s="14" t="s">
        <v>234</v>
      </c>
      <c r="F112" s="14" t="s">
        <v>269</v>
      </c>
      <c r="G112" s="14" t="s">
        <v>368</v>
      </c>
      <c r="H112" s="14" t="s">
        <v>398</v>
      </c>
      <c r="I112" s="53" t="s">
        <v>661</v>
      </c>
      <c r="J112" s="14" t="s">
        <v>500</v>
      </c>
      <c r="K112" s="20" t="s">
        <v>502</v>
      </c>
      <c r="L112" s="14">
        <v>1</v>
      </c>
      <c r="M112" s="14">
        <f>L112*5</f>
        <v>5</v>
      </c>
      <c r="N112" s="14">
        <v>10</v>
      </c>
      <c r="O112" s="45" t="s">
        <v>656</v>
      </c>
      <c r="P112" s="44" t="s">
        <v>650</v>
      </c>
      <c r="Q112" s="15">
        <f>P112*N112</f>
        <v>0.38500000000000001</v>
      </c>
      <c r="R112" s="14"/>
    </row>
    <row r="113" spans="1:18" ht="24">
      <c r="A113" s="1"/>
      <c r="B113" s="17">
        <f t="shared" si="0"/>
        <v>106</v>
      </c>
      <c r="C113" s="23" t="s">
        <v>23</v>
      </c>
      <c r="D113" s="20" t="s">
        <v>132</v>
      </c>
      <c r="E113" s="20" t="s">
        <v>235</v>
      </c>
      <c r="F113" s="20" t="s">
        <v>659</v>
      </c>
      <c r="G113" s="20" t="s">
        <v>369</v>
      </c>
      <c r="H113" s="20" t="s">
        <v>403</v>
      </c>
      <c r="I113" s="53" t="s">
        <v>661</v>
      </c>
      <c r="J113" s="20" t="s">
        <v>501</v>
      </c>
      <c r="K113" s="20" t="s">
        <v>502</v>
      </c>
      <c r="L113" s="20">
        <v>1</v>
      </c>
      <c r="M113" s="20">
        <f t="shared" ref="M113" si="99">L113*5</f>
        <v>5</v>
      </c>
      <c r="N113" s="14" t="s">
        <v>581</v>
      </c>
      <c r="O113" s="45" t="s">
        <v>656</v>
      </c>
      <c r="P113" s="44" t="s">
        <v>651</v>
      </c>
      <c r="Q113" s="21">
        <f t="shared" ref="Q113" si="100">P113*N113</f>
        <v>69.800000000000011</v>
      </c>
      <c r="R113" s="20"/>
    </row>
    <row r="114" spans="1:18" ht="30">
      <c r="A114" s="1"/>
      <c r="B114" s="16">
        <f>ROW(B114) - ROW($B$7)</f>
        <v>107</v>
      </c>
      <c r="C114" s="22" t="s">
        <v>22</v>
      </c>
      <c r="D114" s="14" t="s">
        <v>133</v>
      </c>
      <c r="E114" s="14" t="s">
        <v>236</v>
      </c>
      <c r="F114" s="14" t="s">
        <v>275</v>
      </c>
      <c r="G114" s="14" t="s">
        <v>370</v>
      </c>
      <c r="H114" s="14" t="s">
        <v>404</v>
      </c>
      <c r="I114" s="53" t="s">
        <v>661</v>
      </c>
      <c r="J114" s="14" t="s">
        <v>502</v>
      </c>
      <c r="K114" s="20" t="s">
        <v>502</v>
      </c>
      <c r="L114" s="14">
        <v>1</v>
      </c>
      <c r="M114" s="14">
        <f>L114*5</f>
        <v>5</v>
      </c>
      <c r="N114" s="14">
        <v>6</v>
      </c>
      <c r="O114" s="45" t="s">
        <v>662</v>
      </c>
      <c r="P114" s="44">
        <v>9.16</v>
      </c>
      <c r="Q114" s="15">
        <f>P114*N114</f>
        <v>54.96</v>
      </c>
      <c r="R114" s="14"/>
    </row>
    <row r="115" spans="1:18" ht="24">
      <c r="A115" s="1"/>
      <c r="B115" s="17">
        <f t="shared" si="0"/>
        <v>108</v>
      </c>
      <c r="C115" s="23" t="s">
        <v>24</v>
      </c>
      <c r="D115" s="20" t="s">
        <v>134</v>
      </c>
      <c r="E115" s="20" t="s">
        <v>237</v>
      </c>
      <c r="F115" s="20" t="s">
        <v>276</v>
      </c>
      <c r="G115" s="20" t="s">
        <v>371</v>
      </c>
      <c r="H115" s="20" t="s">
        <v>405</v>
      </c>
      <c r="I115" s="53" t="s">
        <v>661</v>
      </c>
      <c r="J115" s="20" t="s">
        <v>503</v>
      </c>
      <c r="K115" s="20" t="s">
        <v>558</v>
      </c>
      <c r="L115" s="20">
        <v>1</v>
      </c>
      <c r="M115" s="20">
        <f t="shared" ref="M115" si="101">L115*5</f>
        <v>5</v>
      </c>
      <c r="N115" s="14">
        <v>10</v>
      </c>
      <c r="O115" s="45" t="s">
        <v>656</v>
      </c>
      <c r="P115" s="44" t="s">
        <v>652</v>
      </c>
      <c r="Q115" s="21">
        <f t="shared" ref="Q115" si="102">P115*N115</f>
        <v>2.306</v>
      </c>
      <c r="R115" s="20"/>
    </row>
    <row r="116" spans="1:18" ht="36">
      <c r="A116" s="1"/>
      <c r="B116" s="16">
        <f>ROW(B116) - ROW($B$7)</f>
        <v>109</v>
      </c>
      <c r="C116" s="22" t="s">
        <v>24</v>
      </c>
      <c r="D116" s="14" t="s">
        <v>135</v>
      </c>
      <c r="E116" s="14" t="s">
        <v>238</v>
      </c>
      <c r="F116" s="20" t="s">
        <v>659</v>
      </c>
      <c r="G116" s="14" t="s">
        <v>372</v>
      </c>
      <c r="H116" s="14" t="s">
        <v>406</v>
      </c>
      <c r="I116" s="53" t="s">
        <v>661</v>
      </c>
      <c r="J116" s="14" t="s">
        <v>504</v>
      </c>
      <c r="K116" s="14" t="s">
        <v>559</v>
      </c>
      <c r="L116" s="14">
        <v>1</v>
      </c>
      <c r="M116" s="14">
        <f>L116*5</f>
        <v>5</v>
      </c>
      <c r="N116" s="14" t="s">
        <v>574</v>
      </c>
      <c r="O116" s="45" t="s">
        <v>656</v>
      </c>
      <c r="P116" s="44" t="s">
        <v>653</v>
      </c>
      <c r="Q116" s="15">
        <f>P116*N116</f>
        <v>0.59499999999999997</v>
      </c>
      <c r="R116" s="14"/>
    </row>
    <row r="117" spans="1:18" ht="36">
      <c r="A117" s="1"/>
      <c r="B117" s="17">
        <f t="shared" si="0"/>
        <v>110</v>
      </c>
      <c r="C117" s="22" t="s">
        <v>24</v>
      </c>
      <c r="D117" s="20" t="s">
        <v>136</v>
      </c>
      <c r="E117" s="20" t="s">
        <v>239</v>
      </c>
      <c r="F117" s="20" t="s">
        <v>659</v>
      </c>
      <c r="G117" s="20" t="s">
        <v>373</v>
      </c>
      <c r="H117" s="20" t="s">
        <v>407</v>
      </c>
      <c r="I117" s="53" t="s">
        <v>661</v>
      </c>
      <c r="J117" s="20" t="s">
        <v>505</v>
      </c>
      <c r="K117" s="20" t="s">
        <v>560</v>
      </c>
      <c r="L117" s="20">
        <v>1</v>
      </c>
      <c r="M117" s="20">
        <f t="shared" ref="M117" si="103">L117*5</f>
        <v>5</v>
      </c>
      <c r="N117" s="14">
        <v>6</v>
      </c>
      <c r="O117" s="45" t="s">
        <v>656</v>
      </c>
      <c r="P117" s="44" t="s">
        <v>654</v>
      </c>
      <c r="Q117" s="21">
        <f t="shared" ref="Q117" si="104">P117*N117</f>
        <v>1.1958</v>
      </c>
      <c r="R117" s="20"/>
    </row>
    <row r="118" spans="1:18" ht="24">
      <c r="A118" s="1"/>
      <c r="B118" s="16">
        <f>ROW(B118) - ROW($B$7)</f>
        <v>111</v>
      </c>
      <c r="C118" s="22" t="s">
        <v>25</v>
      </c>
      <c r="D118" s="14" t="s">
        <v>137</v>
      </c>
      <c r="E118" s="14" t="s">
        <v>240</v>
      </c>
      <c r="F118" s="14" t="s">
        <v>277</v>
      </c>
      <c r="G118" s="14" t="s">
        <v>374</v>
      </c>
      <c r="H118" s="14" t="s">
        <v>408</v>
      </c>
      <c r="I118" s="53" t="s">
        <v>661</v>
      </c>
      <c r="J118" s="14" t="s">
        <v>506</v>
      </c>
      <c r="K118" s="14" t="s">
        <v>558</v>
      </c>
      <c r="L118" s="14">
        <v>1</v>
      </c>
      <c r="M118" s="14">
        <f>L118*5</f>
        <v>5</v>
      </c>
      <c r="N118" s="14">
        <v>6</v>
      </c>
      <c r="O118" s="45" t="s">
        <v>656</v>
      </c>
      <c r="P118" s="44" t="s">
        <v>655</v>
      </c>
      <c r="Q118" s="15">
        <f>P118*N118</f>
        <v>1.8540000000000001</v>
      </c>
      <c r="R118" s="14"/>
    </row>
    <row r="119" spans="1:18" ht="15.75" thickBot="1">
      <c r="A119" s="1"/>
      <c r="B119" s="17">
        <f t="shared" si="0"/>
        <v>112</v>
      </c>
      <c r="C119" s="23" t="s">
        <v>24</v>
      </c>
      <c r="D119" s="20" t="s">
        <v>138</v>
      </c>
      <c r="E119" s="20" t="s">
        <v>241</v>
      </c>
      <c r="F119" s="20" t="s">
        <v>278</v>
      </c>
      <c r="G119" s="20" t="s">
        <v>375</v>
      </c>
      <c r="H119" s="20" t="s">
        <v>409</v>
      </c>
      <c r="I119" s="53" t="s">
        <v>661</v>
      </c>
      <c r="J119" s="20" t="s">
        <v>507</v>
      </c>
      <c r="K119" s="20" t="s">
        <v>561</v>
      </c>
      <c r="L119" s="20">
        <v>1</v>
      </c>
      <c r="M119" s="20">
        <f t="shared" ref="M119" si="105">L119*5</f>
        <v>5</v>
      </c>
      <c r="N119" s="14">
        <v>6</v>
      </c>
      <c r="O119" s="45" t="s">
        <v>656</v>
      </c>
      <c r="P119" s="44" t="s">
        <v>596</v>
      </c>
      <c r="Q119" s="21">
        <f t="shared" ref="Q119" si="106">P119*N119</f>
        <v>1.5996000000000001</v>
      </c>
      <c r="R119" s="20"/>
    </row>
    <row r="120" spans="1:18" ht="19.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6" t="s">
        <v>3</v>
      </c>
      <c r="O120" s="57"/>
      <c r="P120" s="57"/>
      <c r="Q120" s="18">
        <f>SUM(Q8:Q119)</f>
        <v>480.49539999999996</v>
      </c>
      <c r="R120" s="1"/>
    </row>
    <row r="121" spans="1:18" ht="19.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6" t="s">
        <v>4</v>
      </c>
      <c r="O121" s="57"/>
      <c r="P121" s="57"/>
      <c r="Q121" s="19">
        <f>Q120/5</f>
        <v>96.099079999999987</v>
      </c>
      <c r="R121" s="1"/>
    </row>
    <row r="133" spans="13:13">
      <c r="M133" s="38"/>
    </row>
  </sheetData>
  <mergeCells count="3">
    <mergeCell ref="K1:R1"/>
    <mergeCell ref="N120:P120"/>
    <mergeCell ref="N121:P121"/>
  </mergeCells>
  <hyperlinks>
    <hyperlink ref="O9" r:id="rId1"/>
    <hyperlink ref="O10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6" r:id="rId27"/>
    <hyperlink ref="O37" r:id="rId28"/>
    <hyperlink ref="O38" r:id="rId29"/>
    <hyperlink ref="O39" r:id="rId30"/>
    <hyperlink ref="O40" r:id="rId31"/>
    <hyperlink ref="O41" r:id="rId32"/>
    <hyperlink ref="O42" r:id="rId33"/>
    <hyperlink ref="O43" r:id="rId34"/>
    <hyperlink ref="O44" r:id="rId35"/>
    <hyperlink ref="O45" r:id="rId36"/>
    <hyperlink ref="O46" r:id="rId37"/>
    <hyperlink ref="O47" r:id="rId38"/>
    <hyperlink ref="O48" r:id="rId39"/>
    <hyperlink ref="O49" r:id="rId40"/>
    <hyperlink ref="O50" r:id="rId41"/>
    <hyperlink ref="O51" r:id="rId42"/>
    <hyperlink ref="O52" r:id="rId43"/>
    <hyperlink ref="O53" r:id="rId44"/>
    <hyperlink ref="O54" r:id="rId45"/>
    <hyperlink ref="O55" r:id="rId46"/>
    <hyperlink ref="O56" r:id="rId47"/>
    <hyperlink ref="O57" r:id="rId48"/>
    <hyperlink ref="O58" r:id="rId49"/>
    <hyperlink ref="O59" r:id="rId50"/>
    <hyperlink ref="O60" r:id="rId51"/>
    <hyperlink ref="O61" r:id="rId52"/>
    <hyperlink ref="O62" r:id="rId53"/>
    <hyperlink ref="O63" r:id="rId54"/>
    <hyperlink ref="O64" r:id="rId55"/>
    <hyperlink ref="O65" r:id="rId56"/>
    <hyperlink ref="O66" r:id="rId57"/>
    <hyperlink ref="O67" r:id="rId58"/>
    <hyperlink ref="O68" r:id="rId59"/>
    <hyperlink ref="O69" r:id="rId60"/>
    <hyperlink ref="O70" r:id="rId61"/>
    <hyperlink ref="O71" r:id="rId62"/>
    <hyperlink ref="O72" r:id="rId63"/>
    <hyperlink ref="O73" r:id="rId64"/>
    <hyperlink ref="O74" r:id="rId65"/>
    <hyperlink ref="O75" r:id="rId66"/>
    <hyperlink ref="O76" r:id="rId67"/>
    <hyperlink ref="O77" r:id="rId68"/>
    <hyperlink ref="O78" r:id="rId69"/>
    <hyperlink ref="O79" r:id="rId70"/>
    <hyperlink ref="O80" r:id="rId71"/>
    <hyperlink ref="O81" r:id="rId72"/>
    <hyperlink ref="O82" r:id="rId73"/>
    <hyperlink ref="O83" r:id="rId74"/>
    <hyperlink ref="O84" r:id="rId75"/>
    <hyperlink ref="O85" r:id="rId76"/>
    <hyperlink ref="O86" r:id="rId77"/>
    <hyperlink ref="O88" r:id="rId78"/>
    <hyperlink ref="O89" r:id="rId79"/>
    <hyperlink ref="O90" r:id="rId80"/>
    <hyperlink ref="O91" r:id="rId81"/>
    <hyperlink ref="O92" r:id="rId82"/>
    <hyperlink ref="O93" r:id="rId83"/>
    <hyperlink ref="O94" r:id="rId84"/>
    <hyperlink ref="O95" r:id="rId85"/>
    <hyperlink ref="O96" r:id="rId86"/>
    <hyperlink ref="O97" r:id="rId87"/>
    <hyperlink ref="O98" r:id="rId88"/>
    <hyperlink ref="O99" r:id="rId89"/>
    <hyperlink ref="O100" r:id="rId90"/>
    <hyperlink ref="O101" r:id="rId91"/>
    <hyperlink ref="O102" r:id="rId92"/>
    <hyperlink ref="O103" r:id="rId93"/>
    <hyperlink ref="O104" r:id="rId94"/>
    <hyperlink ref="O105" r:id="rId95"/>
    <hyperlink ref="O106" r:id="rId96"/>
    <hyperlink ref="O107" r:id="rId97"/>
    <hyperlink ref="O109" r:id="rId98"/>
    <hyperlink ref="O110" r:id="rId99"/>
    <hyperlink ref="O113" r:id="rId100"/>
    <hyperlink ref="O115" r:id="rId101"/>
    <hyperlink ref="O116" r:id="rId102"/>
    <hyperlink ref="O117" r:id="rId103"/>
    <hyperlink ref="O118" r:id="rId104"/>
    <hyperlink ref="O119" r:id="rId105"/>
    <hyperlink ref="O8" r:id="rId106"/>
    <hyperlink ref="O26" r:id="rId107"/>
    <hyperlink ref="O108" r:id="rId108"/>
    <hyperlink ref="O111" r:id="rId109"/>
    <hyperlink ref="O112" r:id="rId110"/>
    <hyperlink ref="O114" r:id="rId111"/>
  </hyperlinks>
  <pageMargins left="0.7" right="0.7" top="0.75" bottom="0.75" header="0.3" footer="0.3"/>
  <pageSetup paperSize="9" orientation="portrait" r:id="rId1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2024-10-01T10:54:31Z</dcterms:modified>
</cp:coreProperties>
</file>