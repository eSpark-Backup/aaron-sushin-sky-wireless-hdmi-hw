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aaronsushinsky-wirelesshdmi-hw\Design-Files\TYPE-C_4K_TRANSMITTER-v1.0\BOM\"/>
    </mc:Choice>
  </mc:AlternateContent>
  <xr:revisionPtr revIDLastSave="0" documentId="13_ncr:1_{4E133561-A7BD-46EA-90B2-9A895A792F08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<sst xmlns="http://schemas.openxmlformats.org/spreadsheetml/2006/main" count="698" uniqueCount="449">
  <si>
    <t>#</t>
  </si>
  <si>
    <t>Item Type</t>
  </si>
  <si>
    <t>Capacitors</t>
  </si>
  <si>
    <t>Capacitor</t>
  </si>
  <si>
    <t>Diode</t>
  </si>
  <si>
    <t>Fuse</t>
  </si>
  <si>
    <t>Ferrite Beads</t>
  </si>
  <si>
    <t>USB Connector</t>
  </si>
  <si>
    <t>UFL Connector</t>
  </si>
  <si>
    <t>Connector</t>
  </si>
  <si>
    <t>Inductor</t>
  </si>
  <si>
    <t>Common Mode Filter</t>
  </si>
  <si>
    <t>LED</t>
  </si>
  <si>
    <t>Mosfet</t>
  </si>
  <si>
    <t>Resistor</t>
  </si>
  <si>
    <t>Resistors</t>
  </si>
  <si>
    <t>Switch</t>
  </si>
  <si>
    <t>Tactile Switch</t>
  </si>
  <si>
    <t>IC</t>
  </si>
  <si>
    <t>Module</t>
  </si>
  <si>
    <t>Crystal</t>
  </si>
  <si>
    <t>Crystal Oscillator</t>
  </si>
  <si>
    <t>Designator</t>
  </si>
  <si>
    <t>C1, C2</t>
  </si>
  <si>
    <t>C3, C38, C67, C106, C202, C256, C258, C261, C263</t>
  </si>
  <si>
    <t>C4, C33, C36, C37, C78, C138, C148, C164, C166, C178, C179, C188, C190, C192, C193, C194, C195, C203, C206, C207, C208, C209, C210, C211, C212, C213, C214, C215, C217, C218, C220, C221, C223, C225, C227, C228, C229, C232, C233, C234, C235, C236, C237, C240, C241, C242, C243, C244, C245, C246, C247, C248, C249, C250, C251, C257, C300</t>
  </si>
  <si>
    <t>C5, C17, C84, C91, C92, C93, C96, C114, C115, C117, C134, C139, C142, C167, C191, C253, C262</t>
  </si>
  <si>
    <t>C6, C7</t>
  </si>
  <si>
    <t>C8, C81</t>
  </si>
  <si>
    <t>C9, C79</t>
  </si>
  <si>
    <t>C10, C44, C51, C52, C53, C54, C55, C56, C57, C58, C59, C60, C72, C80, C86, C141, C175, C176, C189, C288, C289, C293</t>
  </si>
  <si>
    <t>C11</t>
  </si>
  <si>
    <t>C12, C28, C46, C47, C48, C61, C62, C65, C69, C71, C85, C94, C95, C97, C98, C99, C100, C101, C102, C103, C186, C197, C198, C255, C287</t>
  </si>
  <si>
    <t>C13, C14, C15, C16, C18, C19, C20, C21, C22, C23, C24, C25, C26, C31, C32, C40, C42, C43, C77, C119, C120, C122, C132, C165, C173, C204, C205, C259, C260, C264, C267</t>
  </si>
  <si>
    <t>C27, C29, C30, C63, C64, C68, C70, C73, C104, C105, C116, C196, C199, C200, C201, C230, C231, C290</t>
  </si>
  <si>
    <t>C34, C35</t>
  </si>
  <si>
    <t>C39, C41, C252</t>
  </si>
  <si>
    <t>C66</t>
  </si>
  <si>
    <t>C82</t>
  </si>
  <si>
    <t>C83, C87, C88, C89, C90, C107, C108, C109, C110, C111, C112, C113, C118, C123, C124, C125, C126, C127, C128, C131, C133, C135, C136, C137, C140, C143, C144, C145, C147, C150, C151, C152, C153, C154, C155, C160, C161, C162, C163, C168, C170, C171, C172, C177, C180, C181, C216, C239, C265, C266, C270, C271, C272, C274, C276, C277, C278, C279, C280, C281, C282, C283, C284, C285</t>
  </si>
  <si>
    <t>C121, C149, C169, C174, C268, C269, C286</t>
  </si>
  <si>
    <t>C129, C130</t>
  </si>
  <si>
    <t>C156, C157, C158, C159</t>
  </si>
  <si>
    <t>C182, C183, C184, C185</t>
  </si>
  <si>
    <t>C238, C292</t>
  </si>
  <si>
    <t>C254</t>
  </si>
  <si>
    <t>C273, C275</t>
  </si>
  <si>
    <t>D1, D2, D3, D4, D5, D8, D11, D31</t>
  </si>
  <si>
    <t>D6, D7</t>
  </si>
  <si>
    <t>D29, D30</t>
  </si>
  <si>
    <t>F1</t>
  </si>
  <si>
    <t>FB1, FB2, FB3, FB4, FB5, FB6</t>
  </si>
  <si>
    <t>J2</t>
  </si>
  <si>
    <t>J3, J4</t>
  </si>
  <si>
    <t>J7</t>
  </si>
  <si>
    <t>J9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</si>
  <si>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</si>
  <si>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</si>
  <si>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</si>
  <si>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</si>
  <si>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</si>
  <si>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</si>
  <si>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</si>
  <si>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</si>
  <si>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Q1</t>
  </si>
  <si>
    <t>Q7, Q8</t>
  </si>
  <si>
    <t>R1, R43</t>
  </si>
  <si>
    <t>R2, R28, R51, R95, R124</t>
  </si>
  <si>
    <t>R3, R29, R45, R50, R56, R87, R93, R114, R115, R116, R117, R140, R169, R170, R171, R172, R173, R174, R175, R176</t>
  </si>
  <si>
    <t>R4, R99</t>
  </si>
  <si>
    <t>R5, R42, R86, R94, R101</t>
  </si>
  <si>
    <t>R6, R7</t>
  </si>
  <si>
    <t>R8</t>
  </si>
  <si>
    <t>R9, R22, R60, R61, R62, R63, R82, R110</t>
  </si>
  <si>
    <t>R10</t>
  </si>
  <si>
    <t>R11</t>
  </si>
  <si>
    <t>R12</t>
  </si>
  <si>
    <t>R13, R37, R46, R53, R68, R96, R159</t>
  </si>
  <si>
    <t>R14, R15</t>
  </si>
  <si>
    <t>R16</t>
  </si>
  <si>
    <t>R17, R33, R34, R41, R89, R105, R106, R107, R109</t>
  </si>
  <si>
    <t>R18, R19, R21, R26, R31, R39, R44</t>
  </si>
  <si>
    <t>R20</t>
  </si>
  <si>
    <t>R23</t>
  </si>
  <si>
    <t>R24</t>
  </si>
  <si>
    <t>R25, R108</t>
  </si>
  <si>
    <t>R27</t>
  </si>
  <si>
    <t>R30, R119, R120, R121, R123</t>
  </si>
  <si>
    <t>R32</t>
  </si>
  <si>
    <t>R38, R125, R126</t>
  </si>
  <si>
    <t>R40</t>
  </si>
  <si>
    <t>R47, R85</t>
  </si>
  <si>
    <t>R57, R69, R70, R80, R81</t>
  </si>
  <si>
    <t>R58, R59, R64, R65, R66, R67, R71, R72</t>
  </si>
  <si>
    <t>R73</t>
  </si>
  <si>
    <t>R76, R77</t>
  </si>
  <si>
    <t>R98</t>
  </si>
  <si>
    <t>R100</t>
  </si>
  <si>
    <t>R102, R103</t>
  </si>
  <si>
    <t>R104</t>
  </si>
  <si>
    <t>R111, R112</t>
  </si>
  <si>
    <t>R113, R118</t>
  </si>
  <si>
    <t>R135, R136, R137, R138, R139</t>
  </si>
  <si>
    <t>SW1, SW2, SW3</t>
  </si>
  <si>
    <t>SW4</t>
  </si>
  <si>
    <t>U1</t>
  </si>
  <si>
    <t>U2</t>
  </si>
  <si>
    <t>U3</t>
  </si>
  <si>
    <t>U4</t>
  </si>
  <si>
    <t>U5</t>
  </si>
  <si>
    <t>U6</t>
  </si>
  <si>
    <t>U7</t>
  </si>
  <si>
    <t>U8</t>
  </si>
  <si>
    <t>U11</t>
  </si>
  <si>
    <t>U12</t>
  </si>
  <si>
    <t>U16</t>
  </si>
  <si>
    <t>U17</t>
  </si>
  <si>
    <t>X1</t>
  </si>
  <si>
    <t>X2</t>
  </si>
  <si>
    <t>X3</t>
  </si>
  <si>
    <t>X4</t>
  </si>
  <si>
    <t>X5</t>
  </si>
  <si>
    <t>Description</t>
  </si>
  <si>
    <t>CAP CER 15PF 50V C0G/NPO 0402</t>
  </si>
  <si>
    <t>CAP CER 10UF 10V X5R 0402</t>
  </si>
  <si>
    <t>CAP CER 0.1UF 10V X5R 0402, CAP CER 0.1UF 16V X7R 0402, CAP CER 0.1UF 50V X7R 0402</t>
  </si>
  <si>
    <t>CAP CER 4.7UF 10V X5R 0402, CAP CER 4.7UF 6.3V X5R 0402</t>
  </si>
  <si>
    <t>CAP CER 10PF 25V C0G 0201</t>
  </si>
  <si>
    <t>CAP CER 47UF 10V X5R 0805</t>
  </si>
  <si>
    <t>CAP CER 22UF 16V X5R 0805</t>
  </si>
  <si>
    <t>CAP CER 0.1UF 16V X5R 0402, CAP CER 0.1UF 10V X5R 0402</t>
  </si>
  <si>
    <t>CAP CER 4700PF 50V X7R 0402</t>
  </si>
  <si>
    <t>CAP CER 22UF 10V X5R 0603, 16V 22uF X5R ±20% 0603 Multilayer Ceramic Capacitors MLCC - SMD/SMT ROHS</t>
  </si>
  <si>
    <t>CAP CER 1UF 10V X5R 0402</t>
  </si>
  <si>
    <t>CAP CER 10UF 10V X5R 0603</t>
  </si>
  <si>
    <t>CAP CER 22PF 50V C0G/NPO 0402</t>
  </si>
  <si>
    <t>CAP CER 2.2UF 6.3V X5R 0402</t>
  </si>
  <si>
    <t>CAP CER 22UF 10V X5R 0402</t>
  </si>
  <si>
    <t>CAP CER 0.1UF 50V X5R 0603</t>
  </si>
  <si>
    <t>CAP CER 0.1UF 10V X5R 0201</t>
  </si>
  <si>
    <t>CAP CER 1UF 10V X5R 0201</t>
  </si>
  <si>
    <t>CAP CER 18PF 50V C0G/NP0 0402</t>
  </si>
  <si>
    <t>50V 1nF X7R ±10% 0201 Multilayer Ceramic Capacitors MLCC - SMD/SMT ROHS</t>
  </si>
  <si>
    <t>CAP CER 15PF 50V C0G/NPO 0201</t>
  </si>
  <si>
    <t>CAP CER 1000PF 50V C0G/NP0 0402, CAP CER 6.8PF 50V C0G/NPO 0402</t>
  </si>
  <si>
    <t>CAP CER 100PF 50V C0G/NP0 0402</t>
  </si>
  <si>
    <t>CAP CER 12PF 50V C0G/NP0 0402</t>
  </si>
  <si>
    <t>DFN1006-2(0402) ESD Protection Devices ROHS</t>
  </si>
  <si>
    <t>DFN1006-2 ESD Protection Devices ROHS</t>
  </si>
  <si>
    <t>4A@8/20us 15V 7V 5V Unidirectional DFN1006-2L TVS ROHS</t>
  </si>
  <si>
    <t>FUSE BRD MNT 5A 32VAC 75VDC 1206</t>
  </si>
  <si>
    <t>FERRITE BEAD 220 OHM 0603 1LN</t>
  </si>
  <si>
    <t>CONN RCPT USB2.0 MICRO B SMD R/A</t>
  </si>
  <si>
    <t>CONN U.FL RCPT STR 50 OHM SMD</t>
  </si>
  <si>
    <t>SMD HDMI Connectors ROHS</t>
  </si>
  <si>
    <t>5A USB 3.1 1 Horizontal attachment 24P Male -40℃~+85℃ Type-C SMD USB Connectors ROHS</t>
  </si>
  <si>
    <t>Fixed Ind 2.220%UH 0.085 Ohm 2700</t>
  </si>
  <si>
    <t>4.05A 240nH ±20% 19mΩ SMD Power Inductors ROHS</t>
  </si>
  <si>
    <t>POWER INDUCTOR 2016 0.47UH 20% D</t>
  </si>
  <si>
    <t>90Ω@100MHz 4Ω 2 0302 Common Mode Filters ROHS</t>
  </si>
  <si>
    <t>Fixed Ind 2.2UH 4.3A 48MOHM SMD</t>
  </si>
  <si>
    <t>2A 2.2uH ±20% SMD,3x3mm Power Inductors ROHS</t>
  </si>
  <si>
    <t>FIXED IND 3.3UH 8.4A 22MOHM SMD</t>
  </si>
  <si>
    <t>30mA Colorless transparent lens -30℃~+85℃ Positive Stick Common Anode Red,Blue 120° 90mW SMD3528 LED Indication - Discrete ROHS</t>
  </si>
  <si>
    <t>40V 100mW 100@10mA,1V 200mA 300MHz 300mV@50mA,5mA NPN -55℃~+150℃@(Tj) SOT-723 Bipolar Transistors - BJT ROHS</t>
  </si>
  <si>
    <t>Small Signal Bipolar Transistor, 0.6A I(C), 40V V(BR)CEO, 1-Element, NPN, Silicon</t>
  </si>
  <si>
    <t>RES 1M OHM 1% 1/16W 0402</t>
  </si>
  <si>
    <t>RES 22 OHM 1% 1/16W 0402, RES 0 OHM JUMPER 1/16W 0402, RES 10K OHM 1% 1/16W 0402, RES 4.7K OHM 1% 1/16W 0402</t>
  </si>
  <si>
    <t>RES 0 OHM JUMPER 1/16W 0402</t>
  </si>
  <si>
    <t>RES 20K OHM 1% 1/16W 0402</t>
  </si>
  <si>
    <t>RES 100K OHM 1% 1/16W 0402, RES SMD 100K OHM 0.1% 1/16W 0402</t>
  </si>
  <si>
    <t>RES SMD 2.2K OHM 1% 1/16W 0402</t>
  </si>
  <si>
    <t>RES 33K OHM 1% 1/16W 0402</t>
  </si>
  <si>
    <t>RES SMD 10K OHM 1% 1/20W 0201</t>
  </si>
  <si>
    <t>RES 22 OHM 1% 1/20W 0201</t>
  </si>
  <si>
    <t>RES 200K OHM 1% 1/16W 0402</t>
  </si>
  <si>
    <t>RES 51K OHM 1% 1/16W 0402</t>
  </si>
  <si>
    <t>RES 22 OHM 1% 1/16W 0402</t>
  </si>
  <si>
    <t>RES 100 OHM Thick Film 0201 1% 1/20W ±200ppm/°C Molded SMD SMD Paper T/R</t>
  </si>
  <si>
    <t>RES SMD 15K OHM 0.1% 1/16W 0402</t>
  </si>
  <si>
    <t>RES 10K OHM 1% 1/16W 0402, RES SMD 10K OHM 0.5% 1/16W 0402</t>
  </si>
  <si>
    <t>RES 100 OHM 1% 1/16W 0402</t>
  </si>
  <si>
    <t>RES 560 OHM 1% 1/16W 0402</t>
  </si>
  <si>
    <t>RES 9.1K OHM 1% 1/16W 0402</t>
  </si>
  <si>
    <t>RES SMD 120K OHM 0.1% 1/16W 0402</t>
  </si>
  <si>
    <t>RES 47K OHM 1% 1/16W 0402</t>
  </si>
  <si>
    <t>RES SMD 7.68KOHM 0.1% 1/16W 0402</t>
  </si>
  <si>
    <t>RES SMD 0 OHM JUMPER 1/20W 0201</t>
  </si>
  <si>
    <t>RES SMD 31.6KOHM 0.5% 1/16W 0402</t>
  </si>
  <si>
    <t>RES 120 OHM 1% 1/16W 0402</t>
  </si>
  <si>
    <t>RES 200 OHM 1% 1/16W 0402</t>
  </si>
  <si>
    <t>RES 33 OHM 1% 1/16W 0402</t>
  </si>
  <si>
    <t>50mW Thick Film Resistors 25V ±1% -100ppm/℃~+350ppm/℃ 2.2Ω 0201 Chip Resistor - Surface Mount ROHS</t>
  </si>
  <si>
    <t>RES 1.62K OHM 0.5% 1/20W 0201</t>
  </si>
  <si>
    <t>RES 4.7K OHM 1% 1/16W 0402</t>
  </si>
  <si>
    <t>RES 0 OHM JUMPER 1/10W 0603</t>
  </si>
  <si>
    <t>RES 2K OHM 1% 1/16W 0402</t>
  </si>
  <si>
    <t>RES 240 OHM 1% 1/16W 0402</t>
  </si>
  <si>
    <t>RES 2.2K OHM 1% 1/20W 0201</t>
  </si>
  <si>
    <t>RES 150K OHM 0.1% 1/16W 0402</t>
  </si>
  <si>
    <t>RES 30K OHM 1% 1/16W 0402</t>
  </si>
  <si>
    <t>SWITCH TACTILE SPST-NO 0.05A 12V</t>
  </si>
  <si>
    <t>BGA-565(15.5x14.4) Microcontrollers (MCU/MPU/SOC) ROHS</t>
  </si>
  <si>
    <t>IC INTERFACE SPECIALIZED 24UQFN</t>
  </si>
  <si>
    <t>eMMC 5.1 FBGA-153 eMMC ROHS</t>
  </si>
  <si>
    <t>5.4Gbps Type-C/DP/eDPToDual-port MIPI DSI/CSI/LVDS with Audio QFN-64(7.5x7.5) Video Interface ICs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</si>
  <si>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</si>
  <si>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</si>
  <si>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</si>
  <si>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</si>
  <si>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</si>
  <si>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</si>
  <si>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REG BUCK ADJ 2A SOT23-5</t>
  </si>
  <si>
    <t>-86dBm 14dBm 2.4GHz - WiFi Modules ROHS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</si>
  <si>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</si>
  <si>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</si>
  <si>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</si>
  <si>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SMD2520-4P Crystals ROHS</t>
  </si>
  <si>
    <t>1.8V ±10ppm ±20ppm CMOS 32.768kHz SMD3225-4P Crystal Oscillators ROHS</t>
  </si>
  <si>
    <t>Footprint</t>
  </si>
  <si>
    <t>Cap-0402</t>
  </si>
  <si>
    <t>CAP-0201</t>
  </si>
  <si>
    <t>Cap-0805</t>
  </si>
  <si>
    <t>Cap-0603</t>
  </si>
  <si>
    <t>Cap-0201</t>
  </si>
  <si>
    <t>DFN1006-2L (Bi-Directional)</t>
  </si>
  <si>
    <t>DFN1006-2L_</t>
  </si>
  <si>
    <t>Fuse 1206 (3216 Metric)</t>
  </si>
  <si>
    <t>IND-0603 (1608 Metric)</t>
  </si>
  <si>
    <t>10118192-0001LF_</t>
  </si>
  <si>
    <t>U.FL-R-SMT-1(80)_</t>
  </si>
  <si>
    <t>HDMI-101W</t>
  </si>
  <si>
    <t>GT-USB-8013A</t>
  </si>
  <si>
    <t>Inductor 1008</t>
  </si>
  <si>
    <t>WPN252012HR24MT_</t>
  </si>
  <si>
    <t>IND-0806</t>
  </si>
  <si>
    <t>WPN4020H2R2MT_</t>
  </si>
  <si>
    <t>SWPA3015S2R2MT</t>
  </si>
  <si>
    <t>0630CDMCCDS-3R3MC</t>
  </si>
  <si>
    <t>XL-3528SURUBC</t>
  </si>
  <si>
    <t>SOT-723</t>
  </si>
  <si>
    <t>MMBT2222ATT3G</t>
  </si>
  <si>
    <t>Res-0402</t>
  </si>
  <si>
    <t>Res-0201</t>
  </si>
  <si>
    <t>Res-0603</t>
  </si>
  <si>
    <t>B3U-1000P</t>
  </si>
  <si>
    <t>EVQPUA02K</t>
  </si>
  <si>
    <t>BGA-565(15.5x14.4)</t>
  </si>
  <si>
    <t>24-UQFN (4x2)</t>
  </si>
  <si>
    <t>FBGA-153(11.5x13)</t>
  </si>
  <si>
    <t>QFN-64-EP(7.5x7.5)</t>
  </si>
  <si>
    <t>CSP1.56*1.96-20</t>
  </si>
  <si>
    <t>ESOP-8</t>
  </si>
  <si>
    <t>68-QFN-(7x7)</t>
  </si>
  <si>
    <t>SOT-23</t>
  </si>
  <si>
    <t>SOT-23-5</t>
  </si>
  <si>
    <t>200-WFBGA (10x15)</t>
  </si>
  <si>
    <t>AP6275S_</t>
  </si>
  <si>
    <t>SMD3215-2P</t>
  </si>
  <si>
    <t>X322524MOB4SI-</t>
  </si>
  <si>
    <t>Q22FA12800078_</t>
  </si>
  <si>
    <t>SMD2520-4P</t>
  </si>
  <si>
    <t>SMD3225-4P</t>
  </si>
  <si>
    <t>Manufacturer Part Number</t>
  </si>
  <si>
    <t>CQ0402GRNPO9BN150</t>
  </si>
  <si>
    <t>CC0402MRX5R6BB106, CL05A106MP5NUNC</t>
  </si>
  <si>
    <t>CC0402KRX5R6BB104, CC0402JRX7R7BB104, GRM155R71H104ME14D</t>
  </si>
  <si>
    <t>CC0402KRX5R6BB475, CC0402KRX5R5BB475</t>
  </si>
  <si>
    <t>CGA1A2C0G1E100D030BA</t>
  </si>
  <si>
    <t>GRM21BR61A476ME15K</t>
  </si>
  <si>
    <t>CL21A226MOCLRNC</t>
  </si>
  <si>
    <t>CC0402KRX5R7BB104, CC0402KRX5R6BB104</t>
  </si>
  <si>
    <t>CC0402KRX7R9BB472</t>
  </si>
  <si>
    <t>CC0603MRX5R6BB226, HGC0603R5226M160NTHJ</t>
  </si>
  <si>
    <t>CC0402KRX5R6BB105</t>
  </si>
  <si>
    <t>CC0603KRX5R6BB106</t>
  </si>
  <si>
    <t>CC0402JRNPO9BN220</t>
  </si>
  <si>
    <t>C1005X5R0J225KTJA0E</t>
  </si>
  <si>
    <t>GRM158R61A226ME15D</t>
  </si>
  <si>
    <t>CC0603KRX5R9BB104</t>
  </si>
  <si>
    <t>CC0201KRX5R6BB104</t>
  </si>
  <si>
    <t>CC0201MRX5R6BB105</t>
  </si>
  <si>
    <t>GCM1555C1H180GA16D</t>
  </si>
  <si>
    <t>0201B102K500NT</t>
  </si>
  <si>
    <t>CC0201JRNPO9BN150</t>
  </si>
  <si>
    <t>GRM1555C1H102JA01D, CC0402CRNPO9BN6R8</t>
  </si>
  <si>
    <t>GRM1555C1H101JA01D</t>
  </si>
  <si>
    <t>GJM1555C1H120GB01D</t>
  </si>
  <si>
    <t>ESD5451N</t>
  </si>
  <si>
    <t>ESD9X5VU</t>
  </si>
  <si>
    <t>ESD5341N-2/TR</t>
  </si>
  <si>
    <t>0458005.DR</t>
  </si>
  <si>
    <t>BLM18SG221TN1D</t>
  </si>
  <si>
    <t>10118192-0001LF</t>
  </si>
  <si>
    <t>U.FL-R-SMT-1(80)</t>
  </si>
  <si>
    <t>WPN252012H2R2MTY01</t>
  </si>
  <si>
    <t>WPN252012HR24MT</t>
  </si>
  <si>
    <t>WIP201610S-R47MLDG</t>
  </si>
  <si>
    <t>SDMM0806H-2-900T</t>
  </si>
  <si>
    <t>WPN4020H2R2MT</t>
  </si>
  <si>
    <t>MMBT3904M</t>
  </si>
  <si>
    <t>RC0402FR-071ML</t>
  </si>
  <si>
    <t>RC0402FR-0722RL, RC0402FR-070RL, RC0402FR-0710KL, RC0402FR-074K7L</t>
  </si>
  <si>
    <t>RC0402FR-070RL</t>
  </si>
  <si>
    <t>RC0402FR-0720KL</t>
  </si>
  <si>
    <t>RC0402FR-07100KL, RT0402BRD07100KL</t>
  </si>
  <si>
    <t>RC0402FR-072K2L</t>
  </si>
  <si>
    <t>RC0402FR-0733KL</t>
  </si>
  <si>
    <t>RC0201FR-0710KL</t>
  </si>
  <si>
    <t>RC0201FR-0722RL</t>
  </si>
  <si>
    <t>RC0402FR-07200KL</t>
  </si>
  <si>
    <t>RC0402FR-0751KL</t>
  </si>
  <si>
    <t>RC0402FR-0722RL</t>
  </si>
  <si>
    <t>RC0201FR-07100RL</t>
  </si>
  <si>
    <t>RT0402BRD0715KL</t>
  </si>
  <si>
    <t>RC0402FR-0710KL, RE0402DRE0710KL</t>
  </si>
  <si>
    <t>RC0402FR-07100RL</t>
  </si>
  <si>
    <t>RC0402FR-07560RL</t>
  </si>
  <si>
    <t>RC0402FR-079K1L</t>
  </si>
  <si>
    <t>RT0402BRD07120KL</t>
  </si>
  <si>
    <t>RC0402FR-0747KL</t>
  </si>
  <si>
    <t>RT0402BRD077K68L</t>
  </si>
  <si>
    <t>RC0201JR-070RL</t>
  </si>
  <si>
    <t>RT0402DRE0731K6L</t>
  </si>
  <si>
    <t>RC0402FR-07120RL</t>
  </si>
  <si>
    <t>RC0402FR-07200RL</t>
  </si>
  <si>
    <t>RC0402FR-0733RL</t>
  </si>
  <si>
    <t>0201WMF220KTEE</t>
  </si>
  <si>
    <t>RC0201DR-071K62L</t>
  </si>
  <si>
    <t>RC0402FR-074K7L</t>
  </si>
  <si>
    <t>RC0603JR-070RL</t>
  </si>
  <si>
    <t>RC0402FR-072KL</t>
  </si>
  <si>
    <t>RC0402FR-07240RL</t>
  </si>
  <si>
    <t>RC0201FR-072K2L</t>
  </si>
  <si>
    <t>RT0402BRD07150KL</t>
  </si>
  <si>
    <t>RC0402FR-0730KL</t>
  </si>
  <si>
    <t>EVQ-PUA02K</t>
  </si>
  <si>
    <t>RK3566</t>
  </si>
  <si>
    <t>TPD12S016RKTR</t>
  </si>
  <si>
    <t>KLMAG1JETD-B041</t>
  </si>
  <si>
    <t>LT7911D</t>
  </si>
  <si>
    <t>SYR838PKC</t>
  </si>
  <si>
    <t>SCT2450STER</t>
  </si>
  <si>
    <t>RK809-5</t>
  </si>
  <si>
    <t>AP2331SA-7</t>
  </si>
  <si>
    <t>SY8089AAAC</t>
  </si>
  <si>
    <t>K4U6E3S4AA-MGCL</t>
  </si>
  <si>
    <t>TLV62569DBVR</t>
  </si>
  <si>
    <t>AP6275S</t>
  </si>
  <si>
    <t>XDMCZLNDDF-0.032768MHZ</t>
  </si>
  <si>
    <t>X322524MOB4SI</t>
  </si>
  <si>
    <t>Q22FA12800078</t>
  </si>
  <si>
    <t>NX2520SA-27MHZ-STD-CSW-5</t>
  </si>
  <si>
    <t>SX3M32.768KD10F20TLN</t>
  </si>
  <si>
    <t>Manufacturer</t>
  </si>
  <si>
    <t>Yageo</t>
  </si>
  <si>
    <t>Yageo, Samsung</t>
  </si>
  <si>
    <t>Yageo, Murata</t>
  </si>
  <si>
    <t>TDK</t>
  </si>
  <si>
    <t>Murata</t>
  </si>
  <si>
    <t>Samsung</t>
  </si>
  <si>
    <t>Yageo, Chinocera</t>
  </si>
  <si>
    <t>FH</t>
  </si>
  <si>
    <t>Murata, Yageo</t>
  </si>
  <si>
    <t>TECH PUBLIC</t>
  </si>
  <si>
    <t>WILLSEMI</t>
  </si>
  <si>
    <t>Littelfuse</t>
  </si>
  <si>
    <t>Amphenol FCI</t>
  </si>
  <si>
    <t>Hirose</t>
  </si>
  <si>
    <t>XUNPU</t>
  </si>
  <si>
    <t>G-Switch</t>
  </si>
  <si>
    <t>Sunlord</t>
  </si>
  <si>
    <t>INPAQ TECHNOLOGY</t>
  </si>
  <si>
    <t>Sumida</t>
  </si>
  <si>
    <t>XINGLIGHT</t>
  </si>
  <si>
    <t>ON Semiconductor</t>
  </si>
  <si>
    <t>YAGEO</t>
  </si>
  <si>
    <t>UNI-ROYAL</t>
  </si>
  <si>
    <t>Omron</t>
  </si>
  <si>
    <t>Panasonic</t>
  </si>
  <si>
    <t>Rockchip</t>
  </si>
  <si>
    <t>Texas Instruments</t>
  </si>
  <si>
    <t>LONTIUM SEMICONDUCTOR</t>
  </si>
  <si>
    <t>Silergy</t>
  </si>
  <si>
    <t>SCT</t>
  </si>
  <si>
    <t>Diodes</t>
  </si>
  <si>
    <t>AMPAK Tech</t>
  </si>
  <si>
    <t>TAITIEN Elec</t>
  </si>
  <si>
    <t>Yangxing Tech</t>
  </si>
  <si>
    <t>Seiko</t>
  </si>
  <si>
    <t>NDK</t>
  </si>
  <si>
    <t>Shenzhen SCTF Elec</t>
  </si>
  <si>
    <t>Comment</t>
  </si>
  <si>
    <t>15pF</t>
  </si>
  <si>
    <t>10uF</t>
  </si>
  <si>
    <t>0.1uF</t>
  </si>
  <si>
    <t>4.7uF</t>
  </si>
  <si>
    <t>10pF</t>
  </si>
  <si>
    <t>47uF</t>
  </si>
  <si>
    <t>22uF</t>
  </si>
  <si>
    <t>100nF</t>
  </si>
  <si>
    <t>4.7nF</t>
  </si>
  <si>
    <t>1uF</t>
  </si>
  <si>
    <t>22PF</t>
  </si>
  <si>
    <t>2.2uF</t>
  </si>
  <si>
    <t>18pF</t>
  </si>
  <si>
    <t>1nF</t>
  </si>
  <si>
    <t>DNP</t>
  </si>
  <si>
    <t>100pF</t>
  </si>
  <si>
    <t>12pF</t>
  </si>
  <si>
    <t>2.2uH</t>
  </si>
  <si>
    <t>240nH</t>
  </si>
  <si>
    <t>470nH</t>
  </si>
  <si>
    <t>3.3uH</t>
  </si>
  <si>
    <t>1M</t>
  </si>
  <si>
    <t>0R</t>
  </si>
  <si>
    <t>20K</t>
  </si>
  <si>
    <t>100K</t>
  </si>
  <si>
    <t>2.2K</t>
  </si>
  <si>
    <t>33K</t>
  </si>
  <si>
    <t>10K</t>
  </si>
  <si>
    <t>22R</t>
  </si>
  <si>
    <t>200K</t>
  </si>
  <si>
    <t>51K</t>
  </si>
  <si>
    <t>100R</t>
  </si>
  <si>
    <t>15K</t>
  </si>
  <si>
    <t>560R</t>
  </si>
  <si>
    <t>9.1K</t>
  </si>
  <si>
    <t>120K</t>
  </si>
  <si>
    <t>47K</t>
  </si>
  <si>
    <t>7.68K</t>
  </si>
  <si>
    <t>31.6K</t>
  </si>
  <si>
    <t>NC</t>
  </si>
  <si>
    <t>120R</t>
  </si>
  <si>
    <t>200R</t>
  </si>
  <si>
    <t>33R</t>
  </si>
  <si>
    <t>2.2R</t>
  </si>
  <si>
    <t>1.62K</t>
  </si>
  <si>
    <t>4.7K</t>
  </si>
  <si>
    <t>2K</t>
  </si>
  <si>
    <t>240R</t>
  </si>
  <si>
    <t>150K</t>
  </si>
  <si>
    <t>30K</t>
  </si>
  <si>
    <t>32.768kHz</t>
  </si>
  <si>
    <t>24MHZ</t>
  </si>
  <si>
    <t>37.4MHz</t>
  </si>
  <si>
    <t>27MHz</t>
  </si>
  <si>
    <t>Quantity</t>
  </si>
  <si>
    <t>Transistor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</si>
</sst>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1"/>
  <sheetViews>
    <sheetView tabSelected="1" workbookViewId="0">
      <selection activeCell="C99" sqref="C9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22</v>
      </c>
      <c r="E2" s="6" t="s">
        <v>122</v>
      </c>
      <c r="F2" s="5" t="s">
        <v>219</v>
      </c>
      <c r="G2" s="6" t="s">
        <v>263</v>
      </c>
      <c r="H2" s="5" t="s">
        <v>354</v>
      </c>
      <c r="I2" s="6" t="s">
        <v>392</v>
      </c>
      <c r="J2" s="5" t="s">
        <v>447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23</v>
      </c>
      <c r="E3" s="8" t="s">
        <v>123</v>
      </c>
      <c r="F3" s="7" t="s">
        <v>220</v>
      </c>
      <c r="G3" s="8" t="s">
        <v>264</v>
      </c>
      <c r="H3" s="7" t="s">
        <v>355</v>
      </c>
      <c r="I3" s="8" t="s">
        <v>393</v>
      </c>
      <c r="J3" s="7">
        <v>2</v>
      </c>
    </row>
    <row r="4" spans="1:10" ht="24.75" thickBot="1" x14ac:dyDescent="0.3">
      <c r="A4" s="1"/>
      <c r="B4" s="11">
        <f t="shared" ref="B4:B100" si="0">ROW(B4) - ROW($B$2)</f>
        <v>2</v>
      </c>
      <c r="C4" s="13" t="s">
        <v>3</v>
      </c>
      <c r="D4" s="9" t="s">
        <v>24</v>
      </c>
      <c r="E4" s="10" t="s">
        <v>124</v>
      </c>
      <c r="F4" s="9" t="s">
        <v>220</v>
      </c>
      <c r="G4" s="10" t="s">
        <v>265</v>
      </c>
      <c r="H4" s="9" t="s">
        <v>356</v>
      </c>
      <c r="I4" s="10" t="s">
        <v>394</v>
      </c>
      <c r="J4" s="9">
        <v>9</v>
      </c>
    </row>
    <row r="5" spans="1:10" ht="84.75" thickBot="1" x14ac:dyDescent="0.3">
      <c r="A5" s="1"/>
      <c r="B5" s="11">
        <f>ROW(B5) - ROW($B$2)</f>
        <v>3</v>
      </c>
      <c r="C5" s="12" t="s">
        <v>3</v>
      </c>
      <c r="D5" s="7" t="s">
        <v>25</v>
      </c>
      <c r="E5" s="8" t="s">
        <v>125</v>
      </c>
      <c r="F5" s="7" t="s">
        <v>220</v>
      </c>
      <c r="G5" s="8" t="s">
        <v>266</v>
      </c>
      <c r="H5" s="7" t="s">
        <v>357</v>
      </c>
      <c r="I5" s="8" t="s">
        <v>395</v>
      </c>
      <c r="J5" s="7">
        <v>57</v>
      </c>
    </row>
    <row r="6" spans="1:10" ht="24.75" thickBot="1" x14ac:dyDescent="0.3">
      <c r="A6" s="1"/>
      <c r="B6" s="11">
        <f t="shared" si="0"/>
        <v>4</v>
      </c>
      <c r="C6" s="13" t="s">
        <v>3</v>
      </c>
      <c r="D6" s="9" t="s">
        <v>26</v>
      </c>
      <c r="E6" s="10" t="s">
        <v>126</v>
      </c>
      <c r="F6" s="9" t="s">
        <v>220</v>
      </c>
      <c r="G6" s="10" t="s">
        <v>267</v>
      </c>
      <c r="H6" s="9" t="s">
        <v>355</v>
      </c>
      <c r="I6" s="10" t="s">
        <v>396</v>
      </c>
      <c r="J6" s="9">
        <v>17</v>
      </c>
    </row>
    <row r="7" spans="1:10" ht="15.75" thickBot="1" x14ac:dyDescent="0.3">
      <c r="A7" s="1"/>
      <c r="B7" s="11">
        <f>ROW(B7) - ROW($B$2)</f>
        <v>5</v>
      </c>
      <c r="C7" s="12" t="s">
        <v>3</v>
      </c>
      <c r="D7" s="7" t="s">
        <v>27</v>
      </c>
      <c r="E7" s="8" t="s">
        <v>127</v>
      </c>
      <c r="F7" s="7" t="s">
        <v>221</v>
      </c>
      <c r="G7" s="8" t="s">
        <v>268</v>
      </c>
      <c r="H7" s="7" t="s">
        <v>358</v>
      </c>
      <c r="I7" s="8" t="s">
        <v>397</v>
      </c>
      <c r="J7" s="7">
        <v>2</v>
      </c>
    </row>
    <row r="8" spans="1:10" ht="15.75" thickBot="1" x14ac:dyDescent="0.3">
      <c r="A8" s="1"/>
      <c r="B8" s="11">
        <f t="shared" si="0"/>
        <v>6</v>
      </c>
      <c r="C8" s="13" t="s">
        <v>2</v>
      </c>
      <c r="D8" s="9" t="s">
        <v>28</v>
      </c>
      <c r="E8" s="10" t="s">
        <v>128</v>
      </c>
      <c r="F8" s="9" t="s">
        <v>222</v>
      </c>
      <c r="G8" s="10" t="s">
        <v>269</v>
      </c>
      <c r="H8" s="9" t="s">
        <v>359</v>
      </c>
      <c r="I8" s="10" t="s">
        <v>398</v>
      </c>
      <c r="J8" s="9">
        <v>2</v>
      </c>
    </row>
    <row r="9" spans="1:10" ht="15.75" thickBot="1" x14ac:dyDescent="0.3">
      <c r="A9" s="1"/>
      <c r="B9" s="11">
        <f>ROW(B9) - ROW($B$2)</f>
        <v>7</v>
      </c>
      <c r="C9" s="12" t="s">
        <v>3</v>
      </c>
      <c r="D9" s="7" t="s">
        <v>29</v>
      </c>
      <c r="E9" s="8" t="s">
        <v>129</v>
      </c>
      <c r="F9" s="7" t="s">
        <v>222</v>
      </c>
      <c r="G9" s="8" t="s">
        <v>270</v>
      </c>
      <c r="H9" s="7" t="s">
        <v>360</v>
      </c>
      <c r="I9" s="8" t="s">
        <v>399</v>
      </c>
      <c r="J9" s="7">
        <v>2</v>
      </c>
    </row>
    <row r="10" spans="1:10" ht="36.75" thickBot="1" x14ac:dyDescent="0.3">
      <c r="A10" s="1"/>
      <c r="B10" s="11">
        <f t="shared" si="0"/>
        <v>8</v>
      </c>
      <c r="C10" s="13" t="s">
        <v>3</v>
      </c>
      <c r="D10" s="9" t="s">
        <v>30</v>
      </c>
      <c r="E10" s="10" t="s">
        <v>130</v>
      </c>
      <c r="F10" s="9" t="s">
        <v>220</v>
      </c>
      <c r="G10" s="10" t="s">
        <v>271</v>
      </c>
      <c r="H10" s="9" t="s">
        <v>355</v>
      </c>
      <c r="I10" s="10" t="s">
        <v>400</v>
      </c>
      <c r="J10" s="9">
        <v>22</v>
      </c>
    </row>
    <row r="11" spans="1:10" ht="15.75" thickBot="1" x14ac:dyDescent="0.3">
      <c r="A11" s="1"/>
      <c r="B11" s="11">
        <f>ROW(B11) - ROW($B$2)</f>
        <v>9</v>
      </c>
      <c r="C11" s="12" t="s">
        <v>3</v>
      </c>
      <c r="D11" s="7" t="s">
        <v>31</v>
      </c>
      <c r="E11" s="8" t="s">
        <v>131</v>
      </c>
      <c r="F11" s="7" t="s">
        <v>220</v>
      </c>
      <c r="G11" s="8" t="s">
        <v>272</v>
      </c>
      <c r="H11" s="7" t="s">
        <v>355</v>
      </c>
      <c r="I11" s="8" t="s">
        <v>401</v>
      </c>
      <c r="J11" s="7">
        <v>1</v>
      </c>
    </row>
    <row r="12" spans="1:10" ht="36.75" thickBot="1" x14ac:dyDescent="0.3">
      <c r="A12" s="1"/>
      <c r="B12" s="11">
        <f t="shared" si="0"/>
        <v>10</v>
      </c>
      <c r="C12" s="13" t="s">
        <v>3</v>
      </c>
      <c r="D12" s="9" t="s">
        <v>32</v>
      </c>
      <c r="E12" s="10" t="s">
        <v>132</v>
      </c>
      <c r="F12" s="9" t="s">
        <v>223</v>
      </c>
      <c r="G12" s="10" t="s">
        <v>273</v>
      </c>
      <c r="H12" s="9" t="s">
        <v>361</v>
      </c>
      <c r="I12" s="10" t="s">
        <v>399</v>
      </c>
      <c r="J12" s="9">
        <v>25</v>
      </c>
    </row>
    <row r="13" spans="1:10" ht="48.75" thickBot="1" x14ac:dyDescent="0.3">
      <c r="A13" s="1"/>
      <c r="B13" s="11">
        <f>ROW(B13) - ROW($B$2)</f>
        <v>11</v>
      </c>
      <c r="C13" s="12" t="s">
        <v>3</v>
      </c>
      <c r="D13" s="7" t="s">
        <v>33</v>
      </c>
      <c r="E13" s="8" t="s">
        <v>133</v>
      </c>
      <c r="F13" s="7" t="s">
        <v>220</v>
      </c>
      <c r="G13" s="8" t="s">
        <v>274</v>
      </c>
      <c r="H13" s="7" t="s">
        <v>355</v>
      </c>
      <c r="I13" s="8" t="s">
        <v>402</v>
      </c>
      <c r="J13" s="7">
        <v>31</v>
      </c>
    </row>
    <row r="14" spans="1:10" ht="36.75" thickBot="1" x14ac:dyDescent="0.3">
      <c r="A14" s="1"/>
      <c r="B14" s="11">
        <f t="shared" si="0"/>
        <v>12</v>
      </c>
      <c r="C14" s="13" t="s">
        <v>3</v>
      </c>
      <c r="D14" s="9" t="s">
        <v>34</v>
      </c>
      <c r="E14" s="10" t="s">
        <v>134</v>
      </c>
      <c r="F14" s="9" t="s">
        <v>223</v>
      </c>
      <c r="G14" s="10" t="s">
        <v>275</v>
      </c>
      <c r="H14" s="9" t="s">
        <v>355</v>
      </c>
      <c r="I14" s="10" t="s">
        <v>394</v>
      </c>
      <c r="J14" s="9">
        <v>18</v>
      </c>
    </row>
    <row r="15" spans="1:10" ht="15.75" thickBot="1" x14ac:dyDescent="0.3">
      <c r="A15" s="1"/>
      <c r="B15" s="11">
        <f>ROW(B15) - ROW($B$2)</f>
        <v>13</v>
      </c>
      <c r="C15" s="12" t="s">
        <v>3</v>
      </c>
      <c r="D15" s="7" t="s">
        <v>35</v>
      </c>
      <c r="E15" s="8" t="s">
        <v>135</v>
      </c>
      <c r="F15" s="7" t="s">
        <v>220</v>
      </c>
      <c r="G15" s="8" t="s">
        <v>276</v>
      </c>
      <c r="H15" s="7" t="s">
        <v>355</v>
      </c>
      <c r="I15" s="8" t="s">
        <v>403</v>
      </c>
      <c r="J15" s="7">
        <v>2</v>
      </c>
    </row>
    <row r="16" spans="1:10" ht="15.75" thickBot="1" x14ac:dyDescent="0.3">
      <c r="A16" s="1"/>
      <c r="B16" s="11">
        <f t="shared" si="0"/>
        <v>14</v>
      </c>
      <c r="C16" s="13" t="s">
        <v>3</v>
      </c>
      <c r="D16" s="9" t="s">
        <v>36</v>
      </c>
      <c r="E16" s="10" t="s">
        <v>136</v>
      </c>
      <c r="F16" s="9" t="s">
        <v>220</v>
      </c>
      <c r="G16" s="10" t="s">
        <v>277</v>
      </c>
      <c r="H16" s="9" t="s">
        <v>358</v>
      </c>
      <c r="I16" s="10" t="s">
        <v>404</v>
      </c>
      <c r="J16" s="9">
        <v>3</v>
      </c>
    </row>
    <row r="17" spans="1:10" ht="15.75" thickBot="1" x14ac:dyDescent="0.3">
      <c r="A17" s="1"/>
      <c r="B17" s="11">
        <f>ROW(B17) - ROW($B$2)</f>
        <v>15</v>
      </c>
      <c r="C17" s="12" t="s">
        <v>3</v>
      </c>
      <c r="D17" s="7" t="s">
        <v>37</v>
      </c>
      <c r="E17" s="8" t="s">
        <v>137</v>
      </c>
      <c r="F17" s="7" t="s">
        <v>220</v>
      </c>
      <c r="G17" s="8" t="s">
        <v>278</v>
      </c>
      <c r="H17" s="7" t="s">
        <v>359</v>
      </c>
      <c r="I17" s="8" t="s">
        <v>399</v>
      </c>
      <c r="J17" s="7">
        <v>1</v>
      </c>
    </row>
    <row r="18" spans="1:10" ht="15.75" thickBot="1" x14ac:dyDescent="0.3">
      <c r="A18" s="1"/>
      <c r="B18" s="11">
        <f t="shared" si="0"/>
        <v>16</v>
      </c>
      <c r="C18" s="13" t="s">
        <v>3</v>
      </c>
      <c r="D18" s="9" t="s">
        <v>38</v>
      </c>
      <c r="E18" s="10" t="s">
        <v>138</v>
      </c>
      <c r="F18" s="9" t="s">
        <v>223</v>
      </c>
      <c r="G18" s="10" t="s">
        <v>279</v>
      </c>
      <c r="H18" s="9" t="s">
        <v>355</v>
      </c>
      <c r="I18" s="10" t="s">
        <v>400</v>
      </c>
      <c r="J18" s="9">
        <v>1</v>
      </c>
    </row>
    <row r="19" spans="1:10" ht="96.75" thickBot="1" x14ac:dyDescent="0.3">
      <c r="A19" s="1"/>
      <c r="B19" s="11">
        <f>ROW(B19) - ROW($B$2)</f>
        <v>17</v>
      </c>
      <c r="C19" s="13" t="s">
        <v>3</v>
      </c>
      <c r="D19" s="7" t="s">
        <v>39</v>
      </c>
      <c r="E19" s="8" t="s">
        <v>139</v>
      </c>
      <c r="F19" s="7" t="s">
        <v>221</v>
      </c>
      <c r="G19" s="8" t="s">
        <v>280</v>
      </c>
      <c r="H19" s="7" t="s">
        <v>355</v>
      </c>
      <c r="I19" s="8" t="s">
        <v>400</v>
      </c>
      <c r="J19" s="7">
        <v>64</v>
      </c>
    </row>
    <row r="20" spans="1:10" ht="15.75" thickBot="1" x14ac:dyDescent="0.3">
      <c r="A20" s="1"/>
      <c r="B20" s="11">
        <f t="shared" si="0"/>
        <v>18</v>
      </c>
      <c r="C20" s="13" t="s">
        <v>3</v>
      </c>
      <c r="D20" s="9" t="s">
        <v>40</v>
      </c>
      <c r="E20" s="10" t="s">
        <v>140</v>
      </c>
      <c r="F20" s="9" t="s">
        <v>221</v>
      </c>
      <c r="G20" s="10" t="s">
        <v>281</v>
      </c>
      <c r="H20" s="9" t="s">
        <v>355</v>
      </c>
      <c r="I20" s="10" t="s">
        <v>402</v>
      </c>
      <c r="J20" s="9">
        <v>7</v>
      </c>
    </row>
    <row r="21" spans="1:10" ht="15.75" thickBot="1" x14ac:dyDescent="0.3">
      <c r="A21" s="1"/>
      <c r="B21" s="11">
        <f>ROW(B21) - ROW($B$2)</f>
        <v>19</v>
      </c>
      <c r="C21" s="12" t="s">
        <v>3</v>
      </c>
      <c r="D21" s="7" t="s">
        <v>41</v>
      </c>
      <c r="E21" s="8" t="s">
        <v>141</v>
      </c>
      <c r="F21" s="7" t="s">
        <v>220</v>
      </c>
      <c r="G21" s="8" t="s">
        <v>282</v>
      </c>
      <c r="H21" s="7" t="s">
        <v>359</v>
      </c>
      <c r="I21" s="8" t="s">
        <v>405</v>
      </c>
      <c r="J21" s="7">
        <v>2</v>
      </c>
    </row>
    <row r="22" spans="1:10" ht="36.75" thickBot="1" x14ac:dyDescent="0.3">
      <c r="A22" s="1"/>
      <c r="B22" s="11">
        <f t="shared" si="0"/>
        <v>20</v>
      </c>
      <c r="C22" s="13" t="s">
        <v>3</v>
      </c>
      <c r="D22" s="9" t="s">
        <v>42</v>
      </c>
      <c r="E22" s="10" t="s">
        <v>142</v>
      </c>
      <c r="F22" s="9" t="s">
        <v>221</v>
      </c>
      <c r="G22" s="10" t="s">
        <v>283</v>
      </c>
      <c r="H22" s="9" t="s">
        <v>362</v>
      </c>
      <c r="I22" s="10" t="s">
        <v>406</v>
      </c>
      <c r="J22" s="9">
        <v>4</v>
      </c>
    </row>
    <row r="23" spans="1:10" ht="15.75" thickBot="1" x14ac:dyDescent="0.3">
      <c r="A23" s="1"/>
      <c r="B23" s="11">
        <f>ROW(B23) - ROW($B$2)</f>
        <v>21</v>
      </c>
      <c r="C23" s="12" t="s">
        <v>3</v>
      </c>
      <c r="D23" s="7" t="s">
        <v>43</v>
      </c>
      <c r="E23" s="8" t="s">
        <v>143</v>
      </c>
      <c r="F23" s="7" t="s">
        <v>224</v>
      </c>
      <c r="G23" s="8" t="s">
        <v>284</v>
      </c>
      <c r="H23" s="7" t="s">
        <v>355</v>
      </c>
      <c r="I23" s="8" t="s">
        <v>407</v>
      </c>
      <c r="J23" s="7">
        <v>4</v>
      </c>
    </row>
    <row r="24" spans="1:10" ht="24.75" thickBot="1" x14ac:dyDescent="0.3">
      <c r="A24" s="1"/>
      <c r="B24" s="11">
        <f t="shared" si="0"/>
        <v>22</v>
      </c>
      <c r="C24" s="13" t="s">
        <v>3</v>
      </c>
      <c r="D24" s="9" t="s">
        <v>44</v>
      </c>
      <c r="E24" s="10" t="s">
        <v>144</v>
      </c>
      <c r="F24" s="9" t="s">
        <v>220</v>
      </c>
      <c r="G24" s="10" t="s">
        <v>285</v>
      </c>
      <c r="H24" s="9" t="s">
        <v>363</v>
      </c>
      <c r="I24" s="10" t="s">
        <v>407</v>
      </c>
      <c r="J24" s="9">
        <v>2</v>
      </c>
    </row>
    <row r="25" spans="1:10" ht="15.75" thickBot="1" x14ac:dyDescent="0.3">
      <c r="A25" s="1"/>
      <c r="B25" s="11">
        <f>ROW(B25) - ROW($B$2)</f>
        <v>23</v>
      </c>
      <c r="C25" s="13" t="s">
        <v>3</v>
      </c>
      <c r="D25" s="7" t="s">
        <v>45</v>
      </c>
      <c r="E25" s="8" t="s">
        <v>145</v>
      </c>
      <c r="F25" s="7" t="s">
        <v>220</v>
      </c>
      <c r="G25" s="8" t="s">
        <v>286</v>
      </c>
      <c r="H25" s="7" t="s">
        <v>359</v>
      </c>
      <c r="I25" s="8" t="s">
        <v>408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3" t="s">
        <v>3</v>
      </c>
      <c r="D26" s="9" t="s">
        <v>46</v>
      </c>
      <c r="E26" s="10" t="s">
        <v>146</v>
      </c>
      <c r="F26" s="9" t="s">
        <v>220</v>
      </c>
      <c r="G26" s="10" t="s">
        <v>287</v>
      </c>
      <c r="H26" s="9" t="s">
        <v>359</v>
      </c>
      <c r="I26" s="10" t="s">
        <v>409</v>
      </c>
      <c r="J26" s="9">
        <v>2</v>
      </c>
    </row>
    <row r="27" spans="1:10" ht="24.75" thickBot="1" x14ac:dyDescent="0.3">
      <c r="A27" s="1"/>
      <c r="B27" s="11">
        <f>ROW(B27) - ROW($B$2)</f>
        <v>25</v>
      </c>
      <c r="C27" s="12" t="s">
        <v>4</v>
      </c>
      <c r="D27" s="7" t="s">
        <v>47</v>
      </c>
      <c r="E27" s="8" t="s">
        <v>147</v>
      </c>
      <c r="F27" s="7" t="s">
        <v>225</v>
      </c>
      <c r="G27" s="8" t="s">
        <v>288</v>
      </c>
      <c r="H27" s="7" t="s">
        <v>364</v>
      </c>
      <c r="I27" s="8" t="s">
        <v>288</v>
      </c>
      <c r="J27" s="7">
        <v>8</v>
      </c>
    </row>
    <row r="28" spans="1:10" ht="24.75" thickBot="1" x14ac:dyDescent="0.3">
      <c r="A28" s="1"/>
      <c r="B28" s="11">
        <f t="shared" si="0"/>
        <v>26</v>
      </c>
      <c r="C28" s="12" t="s">
        <v>4</v>
      </c>
      <c r="D28" s="9" t="s">
        <v>48</v>
      </c>
      <c r="E28" s="10" t="s">
        <v>148</v>
      </c>
      <c r="F28" s="9" t="s">
        <v>226</v>
      </c>
      <c r="G28" s="10" t="s">
        <v>289</v>
      </c>
      <c r="H28" s="9" t="s">
        <v>364</v>
      </c>
      <c r="I28" s="10" t="s">
        <v>289</v>
      </c>
      <c r="J28" s="9">
        <v>2</v>
      </c>
    </row>
    <row r="29" spans="1:10" ht="24.75" thickBot="1" x14ac:dyDescent="0.3">
      <c r="A29" s="1"/>
      <c r="B29" s="11">
        <f>ROW(B29) - ROW($B$2)</f>
        <v>27</v>
      </c>
      <c r="C29" s="12" t="s">
        <v>4</v>
      </c>
      <c r="D29" s="7" t="s">
        <v>49</v>
      </c>
      <c r="E29" s="8" t="s">
        <v>149</v>
      </c>
      <c r="F29" s="7" t="s">
        <v>226</v>
      </c>
      <c r="G29" s="8" t="s">
        <v>290</v>
      </c>
      <c r="H29" s="7" t="s">
        <v>365</v>
      </c>
      <c r="I29" s="8" t="s">
        <v>290</v>
      </c>
      <c r="J29" s="7">
        <v>2</v>
      </c>
    </row>
    <row r="30" spans="1:10" ht="15.75" thickBot="1" x14ac:dyDescent="0.3">
      <c r="A30" s="1"/>
      <c r="B30" s="11">
        <f t="shared" si="0"/>
        <v>28</v>
      </c>
      <c r="C30" s="13" t="s">
        <v>5</v>
      </c>
      <c r="D30" s="9" t="s">
        <v>50</v>
      </c>
      <c r="E30" s="10" t="s">
        <v>150</v>
      </c>
      <c r="F30" s="9" t="s">
        <v>227</v>
      </c>
      <c r="G30" s="10" t="s">
        <v>291</v>
      </c>
      <c r="H30" s="9" t="s">
        <v>366</v>
      </c>
      <c r="I30" s="10" t="s">
        <v>291</v>
      </c>
      <c r="J30" s="9">
        <v>1</v>
      </c>
    </row>
    <row r="31" spans="1:10" ht="15.75" thickBot="1" x14ac:dyDescent="0.3">
      <c r="A31" s="1"/>
      <c r="B31" s="11">
        <f>ROW(B31) - ROW($B$2)</f>
        <v>29</v>
      </c>
      <c r="C31" s="12" t="s">
        <v>6</v>
      </c>
      <c r="D31" s="7" t="s">
        <v>51</v>
      </c>
      <c r="E31" s="8" t="s">
        <v>151</v>
      </c>
      <c r="F31" s="7" t="s">
        <v>228</v>
      </c>
      <c r="G31" s="8" t="s">
        <v>292</v>
      </c>
      <c r="H31" s="7" t="s">
        <v>359</v>
      </c>
      <c r="I31" s="8" t="s">
        <v>292</v>
      </c>
      <c r="J31" s="7">
        <v>6</v>
      </c>
    </row>
    <row r="32" spans="1:10" ht="15.75" thickBot="1" x14ac:dyDescent="0.3">
      <c r="A32" s="1"/>
      <c r="B32" s="11">
        <f t="shared" si="0"/>
        <v>30</v>
      </c>
      <c r="C32" s="13" t="s">
        <v>7</v>
      </c>
      <c r="D32" s="9" t="s">
        <v>52</v>
      </c>
      <c r="E32" s="10" t="s">
        <v>152</v>
      </c>
      <c r="F32" s="9" t="s">
        <v>229</v>
      </c>
      <c r="G32" s="10" t="s">
        <v>293</v>
      </c>
      <c r="H32" s="9" t="s">
        <v>367</v>
      </c>
      <c r="I32" s="10" t="s">
        <v>293</v>
      </c>
      <c r="J32" s="9">
        <v>1</v>
      </c>
    </row>
    <row r="33" spans="1:10" ht="15.75" thickBot="1" x14ac:dyDescent="0.3">
      <c r="A33" s="1"/>
      <c r="B33" s="11">
        <f>ROW(B33) - ROW($B$2)</f>
        <v>31</v>
      </c>
      <c r="C33" s="12" t="s">
        <v>8</v>
      </c>
      <c r="D33" s="7" t="s">
        <v>53</v>
      </c>
      <c r="E33" s="8" t="s">
        <v>153</v>
      </c>
      <c r="F33" s="7" t="s">
        <v>230</v>
      </c>
      <c r="G33" s="8" t="s">
        <v>294</v>
      </c>
      <c r="H33" s="7" t="s">
        <v>368</v>
      </c>
      <c r="I33" s="8" t="s">
        <v>294</v>
      </c>
      <c r="J33" s="7">
        <v>2</v>
      </c>
    </row>
    <row r="34" spans="1:10" ht="15.75" thickBot="1" x14ac:dyDescent="0.3">
      <c r="A34" s="1"/>
      <c r="B34" s="11">
        <f t="shared" si="0"/>
        <v>32</v>
      </c>
      <c r="C34" s="13" t="s">
        <v>9</v>
      </c>
      <c r="D34" s="9" t="s">
        <v>54</v>
      </c>
      <c r="E34" s="10" t="s">
        <v>154</v>
      </c>
      <c r="F34" s="9" t="s">
        <v>231</v>
      </c>
      <c r="G34" s="10" t="s">
        <v>231</v>
      </c>
      <c r="H34" s="9" t="s">
        <v>369</v>
      </c>
      <c r="I34" s="10" t="s">
        <v>231</v>
      </c>
      <c r="J34" s="9">
        <v>1</v>
      </c>
    </row>
    <row r="35" spans="1:10" ht="36.75" thickBot="1" x14ac:dyDescent="0.3">
      <c r="A35" s="1"/>
      <c r="B35" s="11">
        <f>ROW(B35) - ROW($B$2)</f>
        <v>33</v>
      </c>
      <c r="C35" s="12" t="s">
        <v>9</v>
      </c>
      <c r="D35" s="7" t="s">
        <v>55</v>
      </c>
      <c r="E35" s="8" t="s">
        <v>155</v>
      </c>
      <c r="F35" s="7" t="s">
        <v>232</v>
      </c>
      <c r="G35" s="8" t="s">
        <v>232</v>
      </c>
      <c r="H35" s="7" t="s">
        <v>370</v>
      </c>
      <c r="I35" s="8" t="s">
        <v>232</v>
      </c>
      <c r="J35" s="7">
        <v>1</v>
      </c>
    </row>
    <row r="36" spans="1:10" ht="15.75" thickBot="1" x14ac:dyDescent="0.3">
      <c r="A36" s="1"/>
      <c r="B36" s="11">
        <f t="shared" si="0"/>
        <v>34</v>
      </c>
      <c r="C36" s="13" t="s">
        <v>10</v>
      </c>
      <c r="D36" s="9" t="s">
        <v>56</v>
      </c>
      <c r="E36" s="10" t="s">
        <v>156</v>
      </c>
      <c r="F36" s="9" t="s">
        <v>233</v>
      </c>
      <c r="G36" s="10" t="s">
        <v>295</v>
      </c>
      <c r="H36" s="9" t="s">
        <v>371</v>
      </c>
      <c r="I36" s="10" t="s">
        <v>410</v>
      </c>
      <c r="J36" s="9">
        <v>2</v>
      </c>
    </row>
    <row r="37" spans="1:10" ht="24.75" thickBot="1" x14ac:dyDescent="0.3">
      <c r="A37" s="1"/>
      <c r="B37" s="11">
        <f>ROW(B37) - ROW($B$2)</f>
        <v>35</v>
      </c>
      <c r="C37" s="12" t="s">
        <v>10</v>
      </c>
      <c r="D37" s="7" t="s">
        <v>57</v>
      </c>
      <c r="E37" s="8" t="s">
        <v>157</v>
      </c>
      <c r="F37" s="7" t="s">
        <v>234</v>
      </c>
      <c r="G37" s="8" t="s">
        <v>296</v>
      </c>
      <c r="H37" s="7" t="s">
        <v>371</v>
      </c>
      <c r="I37" s="8" t="s">
        <v>411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 t="s">
        <v>10</v>
      </c>
      <c r="D38" s="9" t="s">
        <v>58</v>
      </c>
      <c r="E38" s="10" t="s">
        <v>158</v>
      </c>
      <c r="F38" s="9" t="s">
        <v>235</v>
      </c>
      <c r="G38" s="10" t="s">
        <v>297</v>
      </c>
      <c r="H38" s="9" t="s">
        <v>372</v>
      </c>
      <c r="I38" s="10" t="s">
        <v>412</v>
      </c>
      <c r="J38" s="9">
        <v>5</v>
      </c>
    </row>
    <row r="39" spans="1:10" ht="24.75" thickBot="1" x14ac:dyDescent="0.3">
      <c r="A39" s="1"/>
      <c r="B39" s="11">
        <f>ROW(B39) - ROW($B$2)</f>
        <v>37</v>
      </c>
      <c r="C39" s="12" t="s">
        <v>11</v>
      </c>
      <c r="D39" s="7" t="s">
        <v>59</v>
      </c>
      <c r="E39" s="8" t="s">
        <v>159</v>
      </c>
      <c r="F39" s="7">
        <v>302</v>
      </c>
      <c r="G39" s="8" t="s">
        <v>298</v>
      </c>
      <c r="H39" s="7" t="s">
        <v>371</v>
      </c>
      <c r="I39" s="8" t="s">
        <v>298</v>
      </c>
      <c r="J39" s="7">
        <v>2</v>
      </c>
    </row>
    <row r="40" spans="1:10" ht="15.75" thickBot="1" x14ac:dyDescent="0.3">
      <c r="A40" s="1"/>
      <c r="B40" s="11">
        <f t="shared" si="0"/>
        <v>38</v>
      </c>
      <c r="C40" s="13" t="s">
        <v>10</v>
      </c>
      <c r="D40" s="9" t="s">
        <v>60</v>
      </c>
      <c r="E40" s="10" t="s">
        <v>160</v>
      </c>
      <c r="F40" s="9" t="s">
        <v>236</v>
      </c>
      <c r="G40" s="10" t="s">
        <v>299</v>
      </c>
      <c r="H40" s="9" t="s">
        <v>371</v>
      </c>
      <c r="I40" s="10" t="s">
        <v>410</v>
      </c>
      <c r="J40" s="9">
        <v>1</v>
      </c>
    </row>
    <row r="41" spans="1:10" ht="24.75" thickBot="1" x14ac:dyDescent="0.3">
      <c r="A41" s="1"/>
      <c r="B41" s="11">
        <f>ROW(B41) - ROW($B$2)</f>
        <v>39</v>
      </c>
      <c r="C41" s="12" t="s">
        <v>10</v>
      </c>
      <c r="D41" s="7" t="s">
        <v>61</v>
      </c>
      <c r="E41" s="8" t="s">
        <v>161</v>
      </c>
      <c r="F41" s="7" t="s">
        <v>237</v>
      </c>
      <c r="G41" s="8" t="s">
        <v>237</v>
      </c>
      <c r="H41" s="7" t="s">
        <v>371</v>
      </c>
      <c r="I41" s="8" t="s">
        <v>410</v>
      </c>
      <c r="J41" s="7">
        <v>1</v>
      </c>
    </row>
    <row r="42" spans="1:10" ht="15.75" thickBot="1" x14ac:dyDescent="0.3">
      <c r="A42" s="1"/>
      <c r="B42" s="11">
        <f t="shared" si="0"/>
        <v>40</v>
      </c>
      <c r="C42" s="13" t="s">
        <v>10</v>
      </c>
      <c r="D42" s="9" t="s">
        <v>62</v>
      </c>
      <c r="E42" s="10" t="s">
        <v>162</v>
      </c>
      <c r="F42" s="9" t="s">
        <v>238</v>
      </c>
      <c r="G42" s="10" t="s">
        <v>238</v>
      </c>
      <c r="H42" s="9" t="s">
        <v>373</v>
      </c>
      <c r="I42" s="10" t="s">
        <v>413</v>
      </c>
      <c r="J42" s="9">
        <v>1</v>
      </c>
    </row>
    <row r="43" spans="1:10" ht="60.75" thickBot="1" x14ac:dyDescent="0.3">
      <c r="A43" s="1"/>
      <c r="B43" s="11">
        <f>ROW(B43) - ROW($B$2)</f>
        <v>41</v>
      </c>
      <c r="C43" s="12" t="s">
        <v>12</v>
      </c>
      <c r="D43" s="7" t="s">
        <v>63</v>
      </c>
      <c r="E43" s="8" t="s">
        <v>163</v>
      </c>
      <c r="F43" s="7" t="s">
        <v>239</v>
      </c>
      <c r="G43" s="8" t="s">
        <v>239</v>
      </c>
      <c r="H43" s="7" t="s">
        <v>374</v>
      </c>
      <c r="I43" s="8" t="s">
        <v>239</v>
      </c>
      <c r="J43" s="7">
        <v>1</v>
      </c>
    </row>
    <row r="44" spans="1:10" ht="48.75" thickBot="1" x14ac:dyDescent="0.3">
      <c r="A44" s="1"/>
      <c r="B44" s="11">
        <f t="shared" si="0"/>
        <v>42</v>
      </c>
      <c r="C44" s="13" t="s">
        <v>13</v>
      </c>
      <c r="D44" s="9" t="s">
        <v>64</v>
      </c>
      <c r="E44" s="10" t="s">
        <v>164</v>
      </c>
      <c r="F44" s="9" t="s">
        <v>240</v>
      </c>
      <c r="G44" s="10" t="s">
        <v>300</v>
      </c>
      <c r="H44" s="9" t="s">
        <v>364</v>
      </c>
      <c r="I44" s="10" t="s">
        <v>300</v>
      </c>
      <c r="J44" s="9">
        <v>1</v>
      </c>
    </row>
    <row r="45" spans="1:10" ht="36.75" thickBot="1" x14ac:dyDescent="0.3">
      <c r="A45" s="1"/>
      <c r="B45" s="11">
        <f>ROW(B45) - ROW($B$2)</f>
        <v>43</v>
      </c>
      <c r="C45" s="12" t="s">
        <v>448</v>
      </c>
      <c r="D45" s="7" t="s">
        <v>65</v>
      </c>
      <c r="E45" s="8" t="s">
        <v>165</v>
      </c>
      <c r="F45" s="7" t="s">
        <v>241</v>
      </c>
      <c r="G45" s="8" t="s">
        <v>241</v>
      </c>
      <c r="H45" s="7" t="s">
        <v>375</v>
      </c>
      <c r="I45" s="8" t="s">
        <v>241</v>
      </c>
      <c r="J45" s="7">
        <v>2</v>
      </c>
    </row>
    <row r="46" spans="1:10" ht="15.75" thickBot="1" x14ac:dyDescent="0.3">
      <c r="A46" s="1"/>
      <c r="B46" s="11">
        <f t="shared" si="0"/>
        <v>44</v>
      </c>
      <c r="C46" s="13" t="s">
        <v>14</v>
      </c>
      <c r="D46" s="9" t="s">
        <v>66</v>
      </c>
      <c r="E46" s="10" t="s">
        <v>166</v>
      </c>
      <c r="F46" s="9" t="s">
        <v>242</v>
      </c>
      <c r="G46" s="10" t="s">
        <v>301</v>
      </c>
      <c r="H46" s="9" t="s">
        <v>355</v>
      </c>
      <c r="I46" s="10" t="s">
        <v>414</v>
      </c>
      <c r="J46" s="9">
        <v>2</v>
      </c>
    </row>
    <row r="47" spans="1:10" ht="48.75" thickBot="1" x14ac:dyDescent="0.3">
      <c r="A47" s="1"/>
      <c r="B47" s="11">
        <f>ROW(B47) - ROW($B$2)</f>
        <v>45</v>
      </c>
      <c r="C47" s="13" t="s">
        <v>14</v>
      </c>
      <c r="D47" s="7" t="s">
        <v>67</v>
      </c>
      <c r="E47" s="8" t="s">
        <v>167</v>
      </c>
      <c r="F47" s="7" t="s">
        <v>242</v>
      </c>
      <c r="G47" s="8" t="s">
        <v>302</v>
      </c>
      <c r="H47" s="7" t="s">
        <v>355</v>
      </c>
      <c r="I47" s="8" t="s">
        <v>407</v>
      </c>
      <c r="J47" s="7">
        <v>5</v>
      </c>
    </row>
    <row r="48" spans="1:10" ht="36.75" thickBot="1" x14ac:dyDescent="0.3">
      <c r="A48" s="1"/>
      <c r="B48" s="11">
        <f t="shared" si="0"/>
        <v>46</v>
      </c>
      <c r="C48" s="13" t="s">
        <v>14</v>
      </c>
      <c r="D48" s="9" t="s">
        <v>68</v>
      </c>
      <c r="E48" s="10" t="s">
        <v>168</v>
      </c>
      <c r="F48" s="9" t="s">
        <v>242</v>
      </c>
      <c r="G48" s="10" t="s">
        <v>303</v>
      </c>
      <c r="H48" s="9" t="s">
        <v>355</v>
      </c>
      <c r="I48" s="10" t="s">
        <v>415</v>
      </c>
      <c r="J48" s="9">
        <v>20</v>
      </c>
    </row>
    <row r="49" spans="1:10" ht="15.75" thickBot="1" x14ac:dyDescent="0.3">
      <c r="A49" s="1"/>
      <c r="B49" s="11">
        <f>ROW(B49) - ROW($B$2)</f>
        <v>47</v>
      </c>
      <c r="C49" s="12" t="s">
        <v>14</v>
      </c>
      <c r="D49" s="7" t="s">
        <v>69</v>
      </c>
      <c r="E49" s="8" t="s">
        <v>169</v>
      </c>
      <c r="F49" s="7" t="s">
        <v>242</v>
      </c>
      <c r="G49" s="8" t="s">
        <v>304</v>
      </c>
      <c r="H49" s="7" t="s">
        <v>355</v>
      </c>
      <c r="I49" s="8" t="s">
        <v>416</v>
      </c>
      <c r="J49" s="7">
        <v>2</v>
      </c>
    </row>
    <row r="50" spans="1:10" ht="24.75" thickBot="1" x14ac:dyDescent="0.3">
      <c r="A50" s="1"/>
      <c r="B50" s="11">
        <f t="shared" si="0"/>
        <v>48</v>
      </c>
      <c r="C50" s="13" t="s">
        <v>14</v>
      </c>
      <c r="D50" s="9" t="s">
        <v>70</v>
      </c>
      <c r="E50" s="10" t="s">
        <v>170</v>
      </c>
      <c r="F50" s="9" t="s">
        <v>242</v>
      </c>
      <c r="G50" s="10" t="s">
        <v>305</v>
      </c>
      <c r="H50" s="9" t="s">
        <v>355</v>
      </c>
      <c r="I50" s="10" t="s">
        <v>417</v>
      </c>
      <c r="J50" s="9">
        <v>5</v>
      </c>
    </row>
    <row r="51" spans="1:10" ht="15.75" thickBot="1" x14ac:dyDescent="0.3">
      <c r="A51" s="1"/>
      <c r="B51" s="11">
        <f>ROW(B51) - ROW($B$2)</f>
        <v>49</v>
      </c>
      <c r="C51" s="13" t="s">
        <v>14</v>
      </c>
      <c r="D51" s="7" t="s">
        <v>71</v>
      </c>
      <c r="E51" s="8" t="s">
        <v>171</v>
      </c>
      <c r="F51" s="7" t="s">
        <v>242</v>
      </c>
      <c r="G51" s="8" t="s">
        <v>306</v>
      </c>
      <c r="H51" s="7" t="s">
        <v>355</v>
      </c>
      <c r="I51" s="8" t="s">
        <v>418</v>
      </c>
      <c r="J51" s="7">
        <v>2</v>
      </c>
    </row>
    <row r="52" spans="1:10" ht="15.75" thickBot="1" x14ac:dyDescent="0.3">
      <c r="A52" s="1"/>
      <c r="B52" s="11">
        <f t="shared" si="0"/>
        <v>50</v>
      </c>
      <c r="C52" s="13" t="s">
        <v>14</v>
      </c>
      <c r="D52" s="9" t="s">
        <v>72</v>
      </c>
      <c r="E52" s="10" t="s">
        <v>172</v>
      </c>
      <c r="F52" s="9" t="s">
        <v>242</v>
      </c>
      <c r="G52" s="10" t="s">
        <v>307</v>
      </c>
      <c r="H52" s="9" t="s">
        <v>376</v>
      </c>
      <c r="I52" s="10" t="s">
        <v>419</v>
      </c>
      <c r="J52" s="9">
        <v>1</v>
      </c>
    </row>
    <row r="53" spans="1:10" ht="15.75" thickBot="1" x14ac:dyDescent="0.3">
      <c r="A53" s="1"/>
      <c r="B53" s="11">
        <f>ROW(B53) - ROW($B$2)</f>
        <v>51</v>
      </c>
      <c r="C53" s="12" t="s">
        <v>14</v>
      </c>
      <c r="D53" s="7" t="s">
        <v>73</v>
      </c>
      <c r="E53" s="8" t="s">
        <v>173</v>
      </c>
      <c r="F53" s="7" t="s">
        <v>243</v>
      </c>
      <c r="G53" s="8" t="s">
        <v>308</v>
      </c>
      <c r="H53" s="7" t="s">
        <v>355</v>
      </c>
      <c r="I53" s="8" t="s">
        <v>420</v>
      </c>
      <c r="J53" s="7">
        <v>8</v>
      </c>
    </row>
    <row r="54" spans="1:10" ht="15.75" thickBot="1" x14ac:dyDescent="0.3">
      <c r="A54" s="1"/>
      <c r="B54" s="11">
        <f t="shared" si="0"/>
        <v>52</v>
      </c>
      <c r="C54" s="13" t="s">
        <v>14</v>
      </c>
      <c r="D54" s="9" t="s">
        <v>74</v>
      </c>
      <c r="E54" s="10" t="s">
        <v>174</v>
      </c>
      <c r="F54" s="9" t="s">
        <v>243</v>
      </c>
      <c r="G54" s="10" t="s">
        <v>309</v>
      </c>
      <c r="H54" s="9" t="s">
        <v>355</v>
      </c>
      <c r="I54" s="10" t="s">
        <v>421</v>
      </c>
      <c r="J54" s="9">
        <v>1</v>
      </c>
    </row>
    <row r="55" spans="1:10" ht="15.75" thickBot="1" x14ac:dyDescent="0.3">
      <c r="A55" s="1"/>
      <c r="B55" s="11">
        <f>ROW(B55) - ROW($B$2)</f>
        <v>53</v>
      </c>
      <c r="C55" s="12" t="s">
        <v>14</v>
      </c>
      <c r="D55" s="7" t="s">
        <v>75</v>
      </c>
      <c r="E55" s="8" t="s">
        <v>175</v>
      </c>
      <c r="F55" s="7" t="s">
        <v>242</v>
      </c>
      <c r="G55" s="8" t="s">
        <v>310</v>
      </c>
      <c r="H55" s="7" t="s">
        <v>355</v>
      </c>
      <c r="I55" s="8" t="s">
        <v>422</v>
      </c>
      <c r="J55" s="7">
        <v>1</v>
      </c>
    </row>
    <row r="56" spans="1:10" ht="15.75" thickBot="1" x14ac:dyDescent="0.3">
      <c r="A56" s="1"/>
      <c r="B56" s="11">
        <f t="shared" si="0"/>
        <v>54</v>
      </c>
      <c r="C56" s="13" t="s">
        <v>14</v>
      </c>
      <c r="D56" s="9" t="s">
        <v>76</v>
      </c>
      <c r="E56" s="10" t="s">
        <v>176</v>
      </c>
      <c r="F56" s="9" t="s">
        <v>242</v>
      </c>
      <c r="G56" s="10" t="s">
        <v>311</v>
      </c>
      <c r="H56" s="9" t="s">
        <v>355</v>
      </c>
      <c r="I56" s="10" t="s">
        <v>423</v>
      </c>
      <c r="J56" s="9">
        <v>1</v>
      </c>
    </row>
    <row r="57" spans="1:10" ht="15.75" thickBot="1" x14ac:dyDescent="0.3">
      <c r="A57" s="1"/>
      <c r="B57" s="11">
        <f>ROW(B57) - ROW($B$2)</f>
        <v>55</v>
      </c>
      <c r="C57" s="12" t="s">
        <v>14</v>
      </c>
      <c r="D57" s="7" t="s">
        <v>77</v>
      </c>
      <c r="E57" s="8" t="s">
        <v>177</v>
      </c>
      <c r="F57" s="7" t="s">
        <v>242</v>
      </c>
      <c r="G57" s="8" t="s">
        <v>312</v>
      </c>
      <c r="H57" s="7" t="s">
        <v>355</v>
      </c>
      <c r="I57" s="8" t="s">
        <v>421</v>
      </c>
      <c r="J57" s="7">
        <v>7</v>
      </c>
    </row>
    <row r="58" spans="1:10" ht="36.75" thickBot="1" x14ac:dyDescent="0.3">
      <c r="A58" s="1"/>
      <c r="B58" s="11">
        <f t="shared" si="0"/>
        <v>56</v>
      </c>
      <c r="C58" s="13" t="s">
        <v>14</v>
      </c>
      <c r="D58" s="9" t="s">
        <v>78</v>
      </c>
      <c r="E58" s="10" t="s">
        <v>178</v>
      </c>
      <c r="F58" s="9" t="s">
        <v>243</v>
      </c>
      <c r="G58" s="10" t="s">
        <v>313</v>
      </c>
      <c r="H58" s="9" t="s">
        <v>355</v>
      </c>
      <c r="I58" s="10" t="s">
        <v>424</v>
      </c>
      <c r="J58" s="9">
        <v>2</v>
      </c>
    </row>
    <row r="59" spans="1:10" ht="15.75" thickBot="1" x14ac:dyDescent="0.3">
      <c r="A59" s="1"/>
      <c r="B59" s="11">
        <f>ROW(B59) - ROW($B$2)</f>
        <v>57</v>
      </c>
      <c r="C59" s="12" t="s">
        <v>14</v>
      </c>
      <c r="D59" s="7" t="s">
        <v>79</v>
      </c>
      <c r="E59" s="8" t="s">
        <v>179</v>
      </c>
      <c r="F59" s="7" t="s">
        <v>242</v>
      </c>
      <c r="G59" s="8" t="s">
        <v>314</v>
      </c>
      <c r="H59" s="7" t="s">
        <v>355</v>
      </c>
      <c r="I59" s="8" t="s">
        <v>425</v>
      </c>
      <c r="J59" s="7">
        <v>1</v>
      </c>
    </row>
    <row r="60" spans="1:10" ht="24.75" thickBot="1" x14ac:dyDescent="0.3">
      <c r="A60" s="1"/>
      <c r="B60" s="11">
        <f t="shared" si="0"/>
        <v>58</v>
      </c>
      <c r="C60" s="13" t="s">
        <v>14</v>
      </c>
      <c r="D60" s="9" t="s">
        <v>80</v>
      </c>
      <c r="E60" s="10" t="s">
        <v>180</v>
      </c>
      <c r="F60" s="9" t="s">
        <v>242</v>
      </c>
      <c r="G60" s="10" t="s">
        <v>315</v>
      </c>
      <c r="H60" s="9" t="s">
        <v>355</v>
      </c>
      <c r="I60" s="10" t="s">
        <v>420</v>
      </c>
      <c r="J60" s="9">
        <v>9</v>
      </c>
    </row>
    <row r="61" spans="1:10" ht="15.75" thickBot="1" x14ac:dyDescent="0.3">
      <c r="A61" s="1"/>
      <c r="B61" s="11">
        <f>ROW(B61) - ROW($B$2)</f>
        <v>59</v>
      </c>
      <c r="C61" s="12" t="s">
        <v>14</v>
      </c>
      <c r="D61" s="7" t="s">
        <v>81</v>
      </c>
      <c r="E61" s="8" t="s">
        <v>181</v>
      </c>
      <c r="F61" s="7" t="s">
        <v>242</v>
      </c>
      <c r="G61" s="8" t="s">
        <v>316</v>
      </c>
      <c r="H61" s="7" t="s">
        <v>355</v>
      </c>
      <c r="I61" s="8" t="s">
        <v>424</v>
      </c>
      <c r="J61" s="7">
        <v>7</v>
      </c>
    </row>
    <row r="62" spans="1:10" ht="15.75" thickBot="1" x14ac:dyDescent="0.3">
      <c r="A62" s="1"/>
      <c r="B62" s="11">
        <f t="shared" si="0"/>
        <v>60</v>
      </c>
      <c r="C62" s="13" t="s">
        <v>14</v>
      </c>
      <c r="D62" s="9" t="s">
        <v>82</v>
      </c>
      <c r="E62" s="10" t="s">
        <v>182</v>
      </c>
      <c r="F62" s="9" t="s">
        <v>242</v>
      </c>
      <c r="G62" s="10" t="s">
        <v>317</v>
      </c>
      <c r="H62" s="9" t="s">
        <v>355</v>
      </c>
      <c r="I62" s="10" t="s">
        <v>426</v>
      </c>
      <c r="J62" s="9">
        <v>1</v>
      </c>
    </row>
    <row r="63" spans="1:10" ht="15.75" thickBot="1" x14ac:dyDescent="0.3">
      <c r="A63" s="1"/>
      <c r="B63" s="11">
        <f>ROW(B63) - ROW($B$2)</f>
        <v>61</v>
      </c>
      <c r="C63" s="12" t="s">
        <v>14</v>
      </c>
      <c r="D63" s="7" t="s">
        <v>83</v>
      </c>
      <c r="E63" s="8" t="s">
        <v>183</v>
      </c>
      <c r="F63" s="7" t="s">
        <v>242</v>
      </c>
      <c r="G63" s="8" t="s">
        <v>318</v>
      </c>
      <c r="H63" s="7" t="s">
        <v>355</v>
      </c>
      <c r="I63" s="8" t="s">
        <v>427</v>
      </c>
      <c r="J63" s="7">
        <v>1</v>
      </c>
    </row>
    <row r="64" spans="1:10" ht="15.75" thickBot="1" x14ac:dyDescent="0.3">
      <c r="A64" s="1"/>
      <c r="B64" s="11">
        <f t="shared" si="0"/>
        <v>62</v>
      </c>
      <c r="C64" s="13" t="s">
        <v>14</v>
      </c>
      <c r="D64" s="9" t="s">
        <v>84</v>
      </c>
      <c r="E64" s="10" t="s">
        <v>184</v>
      </c>
      <c r="F64" s="9" t="s">
        <v>242</v>
      </c>
      <c r="G64" s="10" t="s">
        <v>319</v>
      </c>
      <c r="H64" s="9" t="s">
        <v>355</v>
      </c>
      <c r="I64" s="10" t="s">
        <v>428</v>
      </c>
      <c r="J64" s="9">
        <v>1</v>
      </c>
    </row>
    <row r="65" spans="1:10" ht="15.75" thickBot="1" x14ac:dyDescent="0.3">
      <c r="A65" s="1"/>
      <c r="B65" s="11">
        <f>ROW(B65) - ROW($B$2)</f>
        <v>63</v>
      </c>
      <c r="C65" s="12" t="s">
        <v>14</v>
      </c>
      <c r="D65" s="7" t="s">
        <v>85</v>
      </c>
      <c r="E65" s="8" t="s">
        <v>185</v>
      </c>
      <c r="F65" s="7" t="s">
        <v>242</v>
      </c>
      <c r="G65" s="8" t="s">
        <v>320</v>
      </c>
      <c r="H65" s="7" t="s">
        <v>355</v>
      </c>
      <c r="I65" s="8" t="s">
        <v>429</v>
      </c>
      <c r="J65" s="7">
        <v>2</v>
      </c>
    </row>
    <row r="66" spans="1:10" ht="15.75" thickBot="1" x14ac:dyDescent="0.3">
      <c r="A66" s="1"/>
      <c r="B66" s="11">
        <f t="shared" si="0"/>
        <v>64</v>
      </c>
      <c r="C66" s="13" t="s">
        <v>15</v>
      </c>
      <c r="D66" s="9" t="s">
        <v>86</v>
      </c>
      <c r="E66" s="10" t="s">
        <v>186</v>
      </c>
      <c r="F66" s="9" t="s">
        <v>242</v>
      </c>
      <c r="G66" s="10" t="s">
        <v>321</v>
      </c>
      <c r="H66" s="9" t="s">
        <v>355</v>
      </c>
      <c r="I66" s="10" t="s">
        <v>430</v>
      </c>
      <c r="J66" s="9">
        <v>1</v>
      </c>
    </row>
    <row r="67" spans="1:10" ht="15.75" thickBot="1" x14ac:dyDescent="0.3">
      <c r="A67" s="1"/>
      <c r="B67" s="11">
        <f>ROW(B67) - ROW($B$2)</f>
        <v>65</v>
      </c>
      <c r="C67" s="12"/>
      <c r="D67" s="7" t="s">
        <v>87</v>
      </c>
      <c r="E67" s="8" t="s">
        <v>187</v>
      </c>
      <c r="F67" s="7" t="s">
        <v>243</v>
      </c>
      <c r="G67" s="8" t="s">
        <v>322</v>
      </c>
      <c r="H67" s="7" t="s">
        <v>355</v>
      </c>
      <c r="I67" s="8" t="s">
        <v>415</v>
      </c>
      <c r="J67" s="7">
        <v>5</v>
      </c>
    </row>
    <row r="68" spans="1:10" ht="15.75" thickBot="1" x14ac:dyDescent="0.3">
      <c r="A68" s="1"/>
      <c r="B68" s="11">
        <f t="shared" si="0"/>
        <v>66</v>
      </c>
      <c r="C68" s="13" t="s">
        <v>15</v>
      </c>
      <c r="D68" s="9" t="s">
        <v>88</v>
      </c>
      <c r="E68" s="10" t="s">
        <v>188</v>
      </c>
      <c r="F68" s="9" t="s">
        <v>242</v>
      </c>
      <c r="G68" s="10" t="s">
        <v>323</v>
      </c>
      <c r="H68" s="9" t="s">
        <v>355</v>
      </c>
      <c r="I68" s="10" t="s">
        <v>431</v>
      </c>
      <c r="J68" s="9">
        <v>1</v>
      </c>
    </row>
    <row r="69" spans="1:10" ht="15.75" thickBot="1" x14ac:dyDescent="0.3">
      <c r="A69" s="1"/>
      <c r="B69" s="11">
        <f>ROW(B69) - ROW($B$2)</f>
        <v>67</v>
      </c>
      <c r="C69" s="12" t="s">
        <v>15</v>
      </c>
      <c r="D69" s="7" t="s">
        <v>89</v>
      </c>
      <c r="E69" s="8" t="s">
        <v>168</v>
      </c>
      <c r="F69" s="7" t="s">
        <v>242</v>
      </c>
      <c r="G69" s="8" t="s">
        <v>303</v>
      </c>
      <c r="H69" s="7" t="s">
        <v>355</v>
      </c>
      <c r="I69" s="8" t="s">
        <v>432</v>
      </c>
      <c r="J69" s="7">
        <v>3</v>
      </c>
    </row>
    <row r="70" spans="1:10" ht="15.75" thickBot="1" x14ac:dyDescent="0.3">
      <c r="A70" s="1"/>
      <c r="B70" s="11">
        <f t="shared" si="0"/>
        <v>68</v>
      </c>
      <c r="C70" s="13" t="s">
        <v>15</v>
      </c>
      <c r="D70" s="9" t="s">
        <v>90</v>
      </c>
      <c r="E70" s="10" t="s">
        <v>189</v>
      </c>
      <c r="F70" s="9" t="s">
        <v>242</v>
      </c>
      <c r="G70" s="10" t="s">
        <v>324</v>
      </c>
      <c r="H70" s="9" t="s">
        <v>355</v>
      </c>
      <c r="I70" s="10" t="s">
        <v>433</v>
      </c>
      <c r="J70" s="9">
        <v>1</v>
      </c>
    </row>
    <row r="71" spans="1:10" ht="15.75" thickBot="1" x14ac:dyDescent="0.3">
      <c r="A71" s="1"/>
      <c r="B71" s="11">
        <f>ROW(B71) - ROW($B$2)</f>
        <v>69</v>
      </c>
      <c r="C71" s="13" t="s">
        <v>14</v>
      </c>
      <c r="D71" s="7" t="s">
        <v>91</v>
      </c>
      <c r="E71" s="8" t="s">
        <v>190</v>
      </c>
      <c r="F71" s="7" t="s">
        <v>242</v>
      </c>
      <c r="G71" s="8" t="s">
        <v>325</v>
      </c>
      <c r="H71" s="7" t="s">
        <v>355</v>
      </c>
      <c r="I71" s="8" t="s">
        <v>434</v>
      </c>
      <c r="J71" s="7">
        <v>2</v>
      </c>
    </row>
    <row r="72" spans="1:10" ht="15.75" thickBot="1" x14ac:dyDescent="0.3">
      <c r="A72" s="1"/>
      <c r="B72" s="11">
        <f t="shared" si="0"/>
        <v>70</v>
      </c>
      <c r="C72" s="13" t="s">
        <v>14</v>
      </c>
      <c r="D72" s="9" t="s">
        <v>92</v>
      </c>
      <c r="E72" s="10" t="s">
        <v>191</v>
      </c>
      <c r="F72" s="9" t="s">
        <v>242</v>
      </c>
      <c r="G72" s="10" t="s">
        <v>326</v>
      </c>
      <c r="H72" s="9" t="s">
        <v>355</v>
      </c>
      <c r="I72" s="10" t="s">
        <v>435</v>
      </c>
      <c r="J72" s="9">
        <v>5</v>
      </c>
    </row>
    <row r="73" spans="1:10" ht="36.75" thickBot="1" x14ac:dyDescent="0.3">
      <c r="A73" s="1"/>
      <c r="B73" s="11">
        <f>ROW(B73) - ROW($B$2)</f>
        <v>71</v>
      </c>
      <c r="C73" s="12" t="s">
        <v>14</v>
      </c>
      <c r="D73" s="7" t="s">
        <v>93</v>
      </c>
      <c r="E73" s="8" t="s">
        <v>192</v>
      </c>
      <c r="F73" s="7" t="s">
        <v>243</v>
      </c>
      <c r="G73" s="8" t="s">
        <v>327</v>
      </c>
      <c r="H73" s="7" t="s">
        <v>377</v>
      </c>
      <c r="I73" s="8" t="s">
        <v>436</v>
      </c>
      <c r="J73" s="7">
        <v>8</v>
      </c>
    </row>
    <row r="74" spans="1:10" ht="15.75" thickBot="1" x14ac:dyDescent="0.3">
      <c r="A74" s="1"/>
      <c r="B74" s="11">
        <f t="shared" si="0"/>
        <v>72</v>
      </c>
      <c r="C74" s="13" t="s">
        <v>14</v>
      </c>
      <c r="D74" s="9" t="s">
        <v>94</v>
      </c>
      <c r="E74" s="10" t="s">
        <v>193</v>
      </c>
      <c r="F74" s="9" t="s">
        <v>243</v>
      </c>
      <c r="G74" s="10" t="s">
        <v>328</v>
      </c>
      <c r="H74" s="9" t="s">
        <v>355</v>
      </c>
      <c r="I74" s="10" t="s">
        <v>437</v>
      </c>
      <c r="J74" s="9">
        <v>1</v>
      </c>
    </row>
    <row r="75" spans="1:10" ht="15.75" thickBot="1" x14ac:dyDescent="0.3">
      <c r="A75" s="1"/>
      <c r="B75" s="11">
        <f>ROW(B75) - ROW($B$2)</f>
        <v>73</v>
      </c>
      <c r="C75" s="12" t="s">
        <v>14</v>
      </c>
      <c r="D75" s="7" t="s">
        <v>95</v>
      </c>
      <c r="E75" s="8" t="s">
        <v>194</v>
      </c>
      <c r="F75" s="7" t="s">
        <v>242</v>
      </c>
      <c r="G75" s="8" t="s">
        <v>329</v>
      </c>
      <c r="H75" s="7" t="s">
        <v>355</v>
      </c>
      <c r="I75" s="8" t="s">
        <v>438</v>
      </c>
      <c r="J75" s="7">
        <v>2</v>
      </c>
    </row>
    <row r="76" spans="1:10" ht="15.75" thickBot="1" x14ac:dyDescent="0.3">
      <c r="A76" s="1"/>
      <c r="B76" s="11">
        <f t="shared" si="0"/>
        <v>74</v>
      </c>
      <c r="C76" s="13" t="s">
        <v>14</v>
      </c>
      <c r="D76" s="9" t="s">
        <v>96</v>
      </c>
      <c r="E76" s="10" t="s">
        <v>195</v>
      </c>
      <c r="F76" s="9" t="s">
        <v>244</v>
      </c>
      <c r="G76" s="10" t="s">
        <v>330</v>
      </c>
      <c r="H76" s="9" t="s">
        <v>355</v>
      </c>
      <c r="I76" s="10" t="s">
        <v>407</v>
      </c>
      <c r="J76" s="9">
        <v>1</v>
      </c>
    </row>
    <row r="77" spans="1:10" ht="15.75" thickBot="1" x14ac:dyDescent="0.3">
      <c r="A77" s="1"/>
      <c r="B77" s="11">
        <f>ROW(B77) - ROW($B$2)</f>
        <v>75</v>
      </c>
      <c r="C77" s="12" t="s">
        <v>14</v>
      </c>
      <c r="D77" s="7" t="s">
        <v>97</v>
      </c>
      <c r="E77" s="8" t="s">
        <v>196</v>
      </c>
      <c r="F77" s="7" t="s">
        <v>242</v>
      </c>
      <c r="G77" s="8" t="s">
        <v>331</v>
      </c>
      <c r="H77" s="7" t="s">
        <v>355</v>
      </c>
      <c r="I77" s="8" t="s">
        <v>439</v>
      </c>
      <c r="J77" s="7">
        <v>1</v>
      </c>
    </row>
    <row r="78" spans="1:10" ht="15.75" thickBot="1" x14ac:dyDescent="0.3">
      <c r="A78" s="1"/>
      <c r="B78" s="11">
        <f t="shared" si="0"/>
        <v>76</v>
      </c>
      <c r="C78" s="13" t="s">
        <v>14</v>
      </c>
      <c r="D78" s="9" t="s">
        <v>98</v>
      </c>
      <c r="E78" s="10" t="s">
        <v>197</v>
      </c>
      <c r="F78" s="9" t="s">
        <v>242</v>
      </c>
      <c r="G78" s="10" t="s">
        <v>332</v>
      </c>
      <c r="H78" s="9" t="s">
        <v>355</v>
      </c>
      <c r="I78" s="10" t="s">
        <v>440</v>
      </c>
      <c r="J78" s="9">
        <v>2</v>
      </c>
    </row>
    <row r="79" spans="1:10" ht="15.75" thickBot="1" x14ac:dyDescent="0.3">
      <c r="A79" s="1"/>
      <c r="B79" s="11">
        <f>ROW(B79) - ROW($B$2)</f>
        <v>77</v>
      </c>
      <c r="C79" s="12" t="s">
        <v>14</v>
      </c>
      <c r="D79" s="7" t="s">
        <v>99</v>
      </c>
      <c r="E79" s="8" t="s">
        <v>195</v>
      </c>
      <c r="F79" s="7" t="s">
        <v>244</v>
      </c>
      <c r="G79" s="8" t="s">
        <v>330</v>
      </c>
      <c r="H79" s="7" t="s">
        <v>355</v>
      </c>
      <c r="I79" s="8" t="s">
        <v>415</v>
      </c>
      <c r="J79" s="7">
        <v>1</v>
      </c>
    </row>
    <row r="80" spans="1:10" ht="15.75" thickBot="1" x14ac:dyDescent="0.3">
      <c r="A80" s="1"/>
      <c r="B80" s="11">
        <f t="shared" si="0"/>
        <v>78</v>
      </c>
      <c r="C80" s="13" t="s">
        <v>14</v>
      </c>
      <c r="D80" s="9" t="s">
        <v>100</v>
      </c>
      <c r="E80" s="10" t="s">
        <v>198</v>
      </c>
      <c r="F80" s="9" t="s">
        <v>243</v>
      </c>
      <c r="G80" s="10" t="s">
        <v>333</v>
      </c>
      <c r="H80" s="9" t="s">
        <v>355</v>
      </c>
      <c r="I80" s="10" t="s">
        <v>418</v>
      </c>
      <c r="J80" s="9">
        <v>2</v>
      </c>
    </row>
    <row r="81" spans="1:10" ht="15.75" thickBot="1" x14ac:dyDescent="0.3">
      <c r="A81" s="1"/>
      <c r="B81" s="11">
        <f>ROW(B81) - ROW($B$2)</f>
        <v>79</v>
      </c>
      <c r="C81" s="12" t="s">
        <v>14</v>
      </c>
      <c r="D81" s="7" t="s">
        <v>101</v>
      </c>
      <c r="E81" s="8" t="s">
        <v>199</v>
      </c>
      <c r="F81" s="7" t="s">
        <v>242</v>
      </c>
      <c r="G81" s="8" t="s">
        <v>334</v>
      </c>
      <c r="H81" s="7" t="s">
        <v>355</v>
      </c>
      <c r="I81" s="8" t="s">
        <v>441</v>
      </c>
      <c r="J81" s="7">
        <v>2</v>
      </c>
    </row>
    <row r="82" spans="1:10" ht="15.75" thickBot="1" x14ac:dyDescent="0.3">
      <c r="A82" s="1"/>
      <c r="B82" s="11">
        <f t="shared" si="0"/>
        <v>80</v>
      </c>
      <c r="C82" s="13"/>
      <c r="D82" s="9" t="s">
        <v>102</v>
      </c>
      <c r="E82" s="10" t="s">
        <v>200</v>
      </c>
      <c r="F82" s="9" t="s">
        <v>242</v>
      </c>
      <c r="G82" s="10" t="s">
        <v>335</v>
      </c>
      <c r="H82" s="9" t="s">
        <v>355</v>
      </c>
      <c r="I82" s="10" t="s">
        <v>442</v>
      </c>
      <c r="J82" s="9">
        <v>5</v>
      </c>
    </row>
    <row r="83" spans="1:10" ht="15.75" thickBot="1" x14ac:dyDescent="0.3">
      <c r="A83" s="1"/>
      <c r="B83" s="11">
        <f>ROW(B83) - ROW($B$2)</f>
        <v>81</v>
      </c>
      <c r="C83" s="12" t="s">
        <v>16</v>
      </c>
      <c r="D83" s="7" t="s">
        <v>103</v>
      </c>
      <c r="E83" s="8" t="s">
        <v>201</v>
      </c>
      <c r="F83" s="7" t="s">
        <v>245</v>
      </c>
      <c r="G83" s="8" t="s">
        <v>245</v>
      </c>
      <c r="H83" s="7" t="s">
        <v>378</v>
      </c>
      <c r="I83" s="8" t="s">
        <v>245</v>
      </c>
      <c r="J83" s="7">
        <v>3</v>
      </c>
    </row>
    <row r="84" spans="1:10" ht="15.75" thickBot="1" x14ac:dyDescent="0.3">
      <c r="A84" s="1"/>
      <c r="B84" s="11">
        <f t="shared" si="0"/>
        <v>82</v>
      </c>
      <c r="C84" s="13" t="s">
        <v>17</v>
      </c>
      <c r="D84" s="9" t="s">
        <v>104</v>
      </c>
      <c r="E84" s="10" t="s">
        <v>201</v>
      </c>
      <c r="F84" s="9" t="s">
        <v>246</v>
      </c>
      <c r="G84" s="10" t="s">
        <v>336</v>
      </c>
      <c r="H84" s="9" t="s">
        <v>379</v>
      </c>
      <c r="I84" s="10" t="s">
        <v>336</v>
      </c>
      <c r="J84" s="9">
        <v>1</v>
      </c>
    </row>
    <row r="85" spans="1:10" ht="24.75" thickBot="1" x14ac:dyDescent="0.3">
      <c r="A85" s="1"/>
      <c r="B85" s="11">
        <f>ROW(B85) - ROW($B$2)</f>
        <v>83</v>
      </c>
      <c r="C85" s="12" t="s">
        <v>18</v>
      </c>
      <c r="D85" s="7" t="s">
        <v>105</v>
      </c>
      <c r="E85" s="8" t="s">
        <v>202</v>
      </c>
      <c r="F85" s="7" t="s">
        <v>247</v>
      </c>
      <c r="G85" s="8" t="s">
        <v>337</v>
      </c>
      <c r="H85" s="7" t="s">
        <v>380</v>
      </c>
      <c r="I85" s="8" t="s">
        <v>337</v>
      </c>
      <c r="J85" s="7">
        <v>1</v>
      </c>
    </row>
    <row r="86" spans="1:10" ht="15.75" thickBot="1" x14ac:dyDescent="0.3">
      <c r="A86" s="1"/>
      <c r="B86" s="11">
        <f t="shared" si="0"/>
        <v>84</v>
      </c>
      <c r="C86" s="13"/>
      <c r="D86" s="9" t="s">
        <v>106</v>
      </c>
      <c r="E86" s="10" t="s">
        <v>203</v>
      </c>
      <c r="F86" s="9" t="s">
        <v>248</v>
      </c>
      <c r="G86" s="10" t="s">
        <v>338</v>
      </c>
      <c r="H86" s="9" t="s">
        <v>381</v>
      </c>
      <c r="I86" s="10" t="s">
        <v>338</v>
      </c>
      <c r="J86" s="9">
        <v>1</v>
      </c>
    </row>
    <row r="87" spans="1:10" ht="15.75" thickBot="1" x14ac:dyDescent="0.3">
      <c r="A87" s="1"/>
      <c r="B87" s="11">
        <f>ROW(B87) - ROW($B$2)</f>
        <v>85</v>
      </c>
      <c r="C87" s="12" t="s">
        <v>18</v>
      </c>
      <c r="D87" s="7" t="s">
        <v>107</v>
      </c>
      <c r="E87" s="8" t="s">
        <v>204</v>
      </c>
      <c r="F87" s="7" t="s">
        <v>249</v>
      </c>
      <c r="G87" s="8" t="s">
        <v>339</v>
      </c>
      <c r="H87" s="7" t="s">
        <v>360</v>
      </c>
      <c r="I87" s="8" t="s">
        <v>339</v>
      </c>
      <c r="J87" s="7">
        <v>1</v>
      </c>
    </row>
    <row r="88" spans="1:10" ht="36.75" thickBot="1" x14ac:dyDescent="0.3">
      <c r="A88" s="1"/>
      <c r="B88" s="11">
        <f t="shared" si="0"/>
        <v>86</v>
      </c>
      <c r="C88" s="13" t="s">
        <v>18</v>
      </c>
      <c r="D88" s="9" t="s">
        <v>108</v>
      </c>
      <c r="E88" s="10" t="s">
        <v>205</v>
      </c>
      <c r="F88" s="9" t="s">
        <v>250</v>
      </c>
      <c r="G88" s="10" t="s">
        <v>340</v>
      </c>
      <c r="H88" s="9" t="s">
        <v>382</v>
      </c>
      <c r="I88" s="10" t="s">
        <v>340</v>
      </c>
      <c r="J88" s="9">
        <v>1</v>
      </c>
    </row>
    <row r="89" spans="1:10" ht="24.75" thickBot="1" x14ac:dyDescent="0.3">
      <c r="A89" s="1"/>
      <c r="B89" s="11">
        <f>ROW(B89) - ROW($B$2)</f>
        <v>87</v>
      </c>
      <c r="C89" s="13" t="s">
        <v>18</v>
      </c>
      <c r="D89" s="7" t="s">
        <v>109</v>
      </c>
      <c r="E89" s="8" t="s">
        <v>206</v>
      </c>
      <c r="F89" s="7" t="s">
        <v>251</v>
      </c>
      <c r="G89" s="8" t="s">
        <v>341</v>
      </c>
      <c r="H89" s="7" t="s">
        <v>383</v>
      </c>
      <c r="I89" s="8" t="s">
        <v>341</v>
      </c>
      <c r="J89" s="7">
        <v>1</v>
      </c>
    </row>
    <row r="90" spans="1:10" ht="24.75" thickBot="1" x14ac:dyDescent="0.3">
      <c r="A90" s="1"/>
      <c r="B90" s="11">
        <f t="shared" si="0"/>
        <v>88</v>
      </c>
      <c r="C90" s="13" t="s">
        <v>18</v>
      </c>
      <c r="D90" s="9" t="s">
        <v>110</v>
      </c>
      <c r="E90" s="10" t="s">
        <v>207</v>
      </c>
      <c r="F90" s="9" t="s">
        <v>252</v>
      </c>
      <c r="G90" s="10" t="s">
        <v>342</v>
      </c>
      <c r="H90" s="9" t="s">
        <v>384</v>
      </c>
      <c r="I90" s="10" t="s">
        <v>342</v>
      </c>
      <c r="J90" s="9">
        <v>1</v>
      </c>
    </row>
    <row r="91" spans="1:10" ht="24.75" thickBot="1" x14ac:dyDescent="0.3">
      <c r="A91" s="1"/>
      <c r="B91" s="11">
        <f>ROW(B91) - ROW($B$2)</f>
        <v>89</v>
      </c>
      <c r="C91" s="12" t="s">
        <v>18</v>
      </c>
      <c r="D91" s="7" t="s">
        <v>111</v>
      </c>
      <c r="E91" s="8" t="s">
        <v>208</v>
      </c>
      <c r="F91" s="7" t="s">
        <v>253</v>
      </c>
      <c r="G91" s="8" t="s">
        <v>343</v>
      </c>
      <c r="H91" s="7" t="s">
        <v>380</v>
      </c>
      <c r="I91" s="8" t="s">
        <v>343</v>
      </c>
      <c r="J91" s="7">
        <v>1</v>
      </c>
    </row>
    <row r="92" spans="1:10" ht="15.75" thickBot="1" x14ac:dyDescent="0.3">
      <c r="A92" s="1"/>
      <c r="B92" s="11">
        <f t="shared" si="0"/>
        <v>90</v>
      </c>
      <c r="C92" s="13" t="s">
        <v>18</v>
      </c>
      <c r="D92" s="9" t="s">
        <v>112</v>
      </c>
      <c r="E92" s="10" t="s">
        <v>209</v>
      </c>
      <c r="F92" s="9" t="s">
        <v>254</v>
      </c>
      <c r="G92" s="10" t="s">
        <v>344</v>
      </c>
      <c r="H92" s="9" t="s">
        <v>385</v>
      </c>
      <c r="I92" s="10" t="s">
        <v>344</v>
      </c>
      <c r="J92" s="9">
        <v>1</v>
      </c>
    </row>
    <row r="93" spans="1:10" ht="24.75" thickBot="1" x14ac:dyDescent="0.3">
      <c r="A93" s="1"/>
      <c r="B93" s="11">
        <f>ROW(B93) - ROW($B$2)</f>
        <v>91</v>
      </c>
      <c r="C93" s="12" t="s">
        <v>18</v>
      </c>
      <c r="D93" s="7" t="s">
        <v>113</v>
      </c>
      <c r="E93" s="8" t="s">
        <v>210</v>
      </c>
      <c r="F93" s="7" t="s">
        <v>255</v>
      </c>
      <c r="G93" s="8" t="s">
        <v>345</v>
      </c>
      <c r="H93" s="7" t="s">
        <v>383</v>
      </c>
      <c r="I93" s="8" t="s">
        <v>345</v>
      </c>
      <c r="J93" s="7">
        <v>1</v>
      </c>
    </row>
    <row r="94" spans="1:10" ht="15.75" thickBot="1" x14ac:dyDescent="0.3">
      <c r="A94" s="1"/>
      <c r="B94" s="11">
        <f t="shared" si="0"/>
        <v>92</v>
      </c>
      <c r="C94" s="13" t="s">
        <v>18</v>
      </c>
      <c r="D94" s="9" t="s">
        <v>114</v>
      </c>
      <c r="E94" s="10" t="s">
        <v>211</v>
      </c>
      <c r="F94" s="9" t="s">
        <v>256</v>
      </c>
      <c r="G94" s="10" t="s">
        <v>346</v>
      </c>
      <c r="H94" s="9" t="s">
        <v>360</v>
      </c>
      <c r="I94" s="10" t="s">
        <v>346</v>
      </c>
      <c r="J94" s="9">
        <v>1</v>
      </c>
    </row>
    <row r="95" spans="1:10" ht="15.75" thickBot="1" x14ac:dyDescent="0.3">
      <c r="A95" s="1"/>
      <c r="B95" s="11">
        <f>ROW(B95) - ROW($B$2)</f>
        <v>93</v>
      </c>
      <c r="C95" s="12" t="s">
        <v>18</v>
      </c>
      <c r="D95" s="7" t="s">
        <v>115</v>
      </c>
      <c r="E95" s="8" t="s">
        <v>212</v>
      </c>
      <c r="F95" s="7" t="s">
        <v>255</v>
      </c>
      <c r="G95" s="8" t="s">
        <v>347</v>
      </c>
      <c r="H95" s="7" t="s">
        <v>381</v>
      </c>
      <c r="I95" s="8" t="s">
        <v>347</v>
      </c>
      <c r="J95" s="7">
        <v>1</v>
      </c>
    </row>
    <row r="96" spans="1:10" ht="24.75" thickBot="1" x14ac:dyDescent="0.3">
      <c r="A96" s="1"/>
      <c r="B96" s="11">
        <f t="shared" si="0"/>
        <v>94</v>
      </c>
      <c r="C96" s="13" t="s">
        <v>19</v>
      </c>
      <c r="D96" s="9" t="s">
        <v>116</v>
      </c>
      <c r="E96" s="10" t="s">
        <v>213</v>
      </c>
      <c r="F96" s="9" t="s">
        <v>257</v>
      </c>
      <c r="G96" s="10" t="s">
        <v>348</v>
      </c>
      <c r="H96" s="9" t="s">
        <v>386</v>
      </c>
      <c r="I96" s="10" t="s">
        <v>348</v>
      </c>
      <c r="J96" s="9">
        <v>1</v>
      </c>
    </row>
    <row r="97" spans="1:10" ht="24.75" thickBot="1" x14ac:dyDescent="0.3">
      <c r="A97" s="1"/>
      <c r="B97" s="11">
        <f>ROW(B97) - ROW($B$2)</f>
        <v>95</v>
      </c>
      <c r="C97" s="12" t="s">
        <v>20</v>
      </c>
      <c r="D97" s="7" t="s">
        <v>117</v>
      </c>
      <c r="E97" s="8" t="s">
        <v>214</v>
      </c>
      <c r="F97" s="7" t="s">
        <v>258</v>
      </c>
      <c r="G97" s="8" t="s">
        <v>349</v>
      </c>
      <c r="H97" s="7" t="s">
        <v>387</v>
      </c>
      <c r="I97" s="8" t="s">
        <v>443</v>
      </c>
      <c r="J97" s="7">
        <v>1</v>
      </c>
    </row>
    <row r="98" spans="1:10" ht="36.75" thickBot="1" x14ac:dyDescent="0.3">
      <c r="A98" s="1"/>
      <c r="B98" s="11">
        <f t="shared" si="0"/>
        <v>96</v>
      </c>
      <c r="C98" s="13" t="s">
        <v>20</v>
      </c>
      <c r="D98" s="9" t="s">
        <v>118</v>
      </c>
      <c r="E98" s="10" t="s">
        <v>215</v>
      </c>
      <c r="F98" s="9" t="s">
        <v>259</v>
      </c>
      <c r="G98" s="10" t="s">
        <v>350</v>
      </c>
      <c r="H98" s="9" t="s">
        <v>388</v>
      </c>
      <c r="I98" s="10" t="s">
        <v>444</v>
      </c>
      <c r="J98" s="9">
        <v>1</v>
      </c>
    </row>
    <row r="99" spans="1:10" ht="36.75" thickBot="1" x14ac:dyDescent="0.3">
      <c r="A99" s="1"/>
      <c r="B99" s="11">
        <f>ROW(B99) - ROW($B$2)</f>
        <v>97</v>
      </c>
      <c r="C99" s="13" t="s">
        <v>20</v>
      </c>
      <c r="D99" s="7" t="s">
        <v>119</v>
      </c>
      <c r="E99" s="8" t="s">
        <v>216</v>
      </c>
      <c r="F99" s="7" t="s">
        <v>260</v>
      </c>
      <c r="G99" s="8" t="s">
        <v>351</v>
      </c>
      <c r="H99" s="7" t="s">
        <v>389</v>
      </c>
      <c r="I99" s="8" t="s">
        <v>445</v>
      </c>
      <c r="J99" s="7">
        <v>1</v>
      </c>
    </row>
    <row r="100" spans="1:10" ht="15.75" thickBot="1" x14ac:dyDescent="0.3">
      <c r="A100" s="1"/>
      <c r="B100" s="11">
        <f t="shared" si="0"/>
        <v>98</v>
      </c>
      <c r="C100" s="13" t="s">
        <v>20</v>
      </c>
      <c r="D100" s="9" t="s">
        <v>120</v>
      </c>
      <c r="E100" s="10" t="s">
        <v>217</v>
      </c>
      <c r="F100" s="9" t="s">
        <v>261</v>
      </c>
      <c r="G100" s="10" t="s">
        <v>352</v>
      </c>
      <c r="H100" s="9" t="s">
        <v>390</v>
      </c>
      <c r="I100" s="10" t="s">
        <v>446</v>
      </c>
      <c r="J100" s="9">
        <v>1</v>
      </c>
    </row>
    <row r="101" spans="1:10" ht="36.75" thickBot="1" x14ac:dyDescent="0.3">
      <c r="A101" s="1"/>
      <c r="B101" s="11">
        <f>ROW(B101) - ROW($B$2)</f>
        <v>99</v>
      </c>
      <c r="C101" s="12" t="s">
        <v>21</v>
      </c>
      <c r="D101" s="7" t="s">
        <v>121</v>
      </c>
      <c r="E101" s="8" t="s">
        <v>218</v>
      </c>
      <c r="F101" s="7" t="s">
        <v>262</v>
      </c>
      <c r="G101" s="8" t="s">
        <v>353</v>
      </c>
      <c r="H101" s="7" t="s">
        <v>391</v>
      </c>
      <c r="I101" s="8" t="s">
        <v>443</v>
      </c>
      <c r="J101" s="7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2024-12-19T11:31:36Z</dcterms:modified>
</cp:coreProperties>
</file>